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AISAN AHMED\Downloads\"/>
    </mc:Choice>
  </mc:AlternateContent>
  <xr:revisionPtr revIDLastSave="0" documentId="13_ncr:1_{E22CE608-B620-44A3-96B4-6832A4162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, DM, MOH, S&amp;A" sheetId="1" r:id="rId1"/>
    <sheet name="Simple, ABC, &amp; NPM" sheetId="2" r:id="rId2"/>
    <sheet name="Master Budget" sheetId="3" r:id="rId3"/>
    <sheet name="Traditional &amp; Contribution IS" sheetId="4" r:id="rId4"/>
    <sheet name="BEP, MOS &amp; ETC.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5" l="1"/>
  <c r="J22" i="5"/>
  <c r="I20" i="5"/>
  <c r="J19" i="5"/>
  <c r="I19" i="5"/>
  <c r="N11" i="5"/>
  <c r="N9" i="5"/>
  <c r="M9" i="5"/>
  <c r="N8" i="5"/>
  <c r="M8" i="5"/>
  <c r="C5" i="5"/>
  <c r="D5" i="5"/>
  <c r="I9" i="5" s="1"/>
  <c r="I10" i="5" s="1"/>
  <c r="C6" i="5"/>
  <c r="I9" i="4"/>
  <c r="J11" i="5"/>
  <c r="J8" i="5"/>
  <c r="I8" i="5"/>
  <c r="D4" i="5"/>
  <c r="I10" i="4"/>
  <c r="I12" i="4" s="1"/>
  <c r="C43" i="3"/>
  <c r="C44" i="3" s="1"/>
  <c r="D21" i="4"/>
  <c r="D20" i="4"/>
  <c r="D10" i="4"/>
  <c r="C42" i="3"/>
  <c r="C41" i="3"/>
  <c r="C40" i="3"/>
  <c r="C39" i="3"/>
  <c r="L21" i="3"/>
  <c r="L22" i="3"/>
  <c r="L23" i="3"/>
  <c r="L24" i="3"/>
  <c r="L25" i="3"/>
  <c r="L26" i="3"/>
  <c r="L27" i="3"/>
  <c r="L28" i="3"/>
  <c r="L29" i="3"/>
  <c r="L30" i="3"/>
  <c r="L20" i="3"/>
  <c r="H12" i="3"/>
  <c r="H9" i="3"/>
  <c r="B34" i="3"/>
  <c r="C68" i="2"/>
  <c r="C69" i="2"/>
  <c r="E68" i="2"/>
  <c r="C48" i="2"/>
  <c r="C49" i="2"/>
  <c r="C50" i="2"/>
  <c r="C51" i="2"/>
  <c r="C52" i="2"/>
  <c r="C53" i="2"/>
  <c r="C54" i="2"/>
  <c r="C55" i="2"/>
  <c r="C47" i="2"/>
  <c r="J21" i="5" l="1"/>
  <c r="J23" i="5" s="1"/>
  <c r="I21" i="5"/>
  <c r="N10" i="5"/>
  <c r="N12" i="5" s="1"/>
  <c r="M10" i="5"/>
  <c r="C26" i="5"/>
  <c r="C27" i="5"/>
  <c r="D6" i="5"/>
  <c r="C12" i="5" s="1"/>
  <c r="C13" i="5" s="1"/>
  <c r="C19" i="5" s="1"/>
  <c r="J9" i="5"/>
  <c r="J10" i="5" s="1"/>
  <c r="J12" i="5" s="1"/>
  <c r="G99" i="1"/>
  <c r="G98" i="1"/>
  <c r="G97" i="1"/>
  <c r="G96" i="1"/>
  <c r="F96" i="1"/>
  <c r="F99" i="1"/>
  <c r="F98" i="1"/>
  <c r="F97" i="1"/>
  <c r="C74" i="1"/>
  <c r="C73" i="1"/>
  <c r="C72" i="1"/>
  <c r="G39" i="1"/>
  <c r="G51" i="3"/>
  <c r="H40" i="3"/>
  <c r="H41" i="3"/>
  <c r="H42" i="3"/>
  <c r="H43" i="3"/>
  <c r="H44" i="3"/>
  <c r="H45" i="3"/>
  <c r="H46" i="3"/>
  <c r="H47" i="3"/>
  <c r="H48" i="3"/>
  <c r="H49" i="3"/>
  <c r="H39" i="3"/>
  <c r="H50" i="3" s="1"/>
  <c r="C13" i="3"/>
  <c r="C17" i="3" s="1"/>
  <c r="C20" i="3" s="1"/>
  <c r="C22" i="3" s="1"/>
  <c r="C23" i="3" s="1"/>
  <c r="J12" i="3" s="1"/>
  <c r="C5" i="3"/>
  <c r="F94" i="2"/>
  <c r="E94" i="2"/>
  <c r="D94" i="2"/>
  <c r="F89" i="2"/>
  <c r="E78" i="2"/>
  <c r="C78" i="2"/>
  <c r="C58" i="2"/>
  <c r="C59" i="2"/>
  <c r="C57" i="2"/>
  <c r="C60" i="2"/>
  <c r="E36" i="2"/>
  <c r="B57" i="2" s="1"/>
  <c r="E37" i="2"/>
  <c r="B58" i="2" s="1"/>
  <c r="E38" i="2"/>
  <c r="B59" i="2" s="1"/>
  <c r="D59" i="2" s="1"/>
  <c r="E39" i="2"/>
  <c r="B60" i="2" s="1"/>
  <c r="D60" i="2" s="1"/>
  <c r="E27" i="2"/>
  <c r="B48" i="2" s="1"/>
  <c r="D48" i="2" s="1"/>
  <c r="E28" i="2"/>
  <c r="B49" i="2" s="1"/>
  <c r="D49" i="2" s="1"/>
  <c r="E29" i="2"/>
  <c r="B50" i="2" s="1"/>
  <c r="D50" i="2" s="1"/>
  <c r="E30" i="2"/>
  <c r="B51" i="2" s="1"/>
  <c r="D51" i="2" s="1"/>
  <c r="E31" i="2"/>
  <c r="B52" i="2" s="1"/>
  <c r="D52" i="2" s="1"/>
  <c r="E32" i="2"/>
  <c r="B53" i="2" s="1"/>
  <c r="D53" i="2" s="1"/>
  <c r="E33" i="2"/>
  <c r="B54" i="2" s="1"/>
  <c r="D54" i="2" s="1"/>
  <c r="E34" i="2"/>
  <c r="B55" i="2" s="1"/>
  <c r="D55" i="2" s="1"/>
  <c r="E26" i="2"/>
  <c r="B47" i="2" s="1"/>
  <c r="D47" i="2" s="1"/>
  <c r="E12" i="1"/>
  <c r="G12" i="1" s="1"/>
  <c r="D13" i="2"/>
  <c r="D9" i="2"/>
  <c r="D18" i="2"/>
  <c r="D7" i="2"/>
  <c r="D8" i="2"/>
  <c r="D10" i="2"/>
  <c r="D11" i="2"/>
  <c r="D12" i="2"/>
  <c r="D14" i="2"/>
  <c r="D15" i="2"/>
  <c r="D16" i="2"/>
  <c r="D6" i="2"/>
  <c r="B132" i="1"/>
  <c r="B131" i="1"/>
  <c r="B129" i="1"/>
  <c r="B128" i="1"/>
  <c r="C66" i="1"/>
  <c r="B134" i="1" s="1"/>
  <c r="C62" i="1"/>
  <c r="B133" i="1" s="1"/>
  <c r="B52" i="1"/>
  <c r="G37" i="1" s="1"/>
  <c r="D36" i="1"/>
  <c r="D37" i="1"/>
  <c r="D38" i="1"/>
  <c r="D39" i="1"/>
  <c r="D40" i="1"/>
  <c r="D41" i="1"/>
  <c r="D42" i="1"/>
  <c r="D43" i="1"/>
  <c r="D35" i="1"/>
  <c r="E13" i="1"/>
  <c r="G13" i="1" s="1"/>
  <c r="D92" i="1" s="1"/>
  <c r="B25" i="1"/>
  <c r="B26" i="1" s="1"/>
  <c r="E4" i="1"/>
  <c r="G4" i="1" s="1"/>
  <c r="E5" i="1"/>
  <c r="G5" i="1" s="1"/>
  <c r="E6" i="1"/>
  <c r="G6" i="1" s="1"/>
  <c r="E85" i="1" s="1"/>
  <c r="E7" i="1"/>
  <c r="G7" i="1" s="1"/>
  <c r="D86" i="1" s="1"/>
  <c r="E8" i="1"/>
  <c r="G8" i="1" s="1"/>
  <c r="E9" i="1"/>
  <c r="G9" i="1" s="1"/>
  <c r="E10" i="1"/>
  <c r="G10" i="1" s="1"/>
  <c r="E11" i="1"/>
  <c r="G11" i="1" s="1"/>
  <c r="D90" i="1" s="1"/>
  <c r="E3" i="1"/>
  <c r="G3" i="1" s="1"/>
  <c r="C28" i="5" l="1"/>
  <c r="D7" i="5"/>
  <c r="C14" i="5" s="1"/>
  <c r="C21" i="5"/>
  <c r="C20" i="5"/>
  <c r="H10" i="3"/>
  <c r="J10" i="3" s="1"/>
  <c r="L10" i="3" s="1"/>
  <c r="H14" i="3"/>
  <c r="J14" i="3" s="1"/>
  <c r="G30" i="3" s="1"/>
  <c r="J9" i="3"/>
  <c r="L9" i="3" s="1"/>
  <c r="G26" i="3"/>
  <c r="G28" i="3"/>
  <c r="L12" i="3"/>
  <c r="H6" i="3"/>
  <c r="J6" i="3" s="1"/>
  <c r="I51" i="3"/>
  <c r="H11" i="3"/>
  <c r="J11" i="3" s="1"/>
  <c r="H4" i="3"/>
  <c r="J4" i="3" s="1"/>
  <c r="H7" i="3"/>
  <c r="J7" i="3" s="1"/>
  <c r="H5" i="3"/>
  <c r="J5" i="3" s="1"/>
  <c r="H8" i="3"/>
  <c r="J8" i="3" s="1"/>
  <c r="H13" i="3"/>
  <c r="J13" i="3" s="1"/>
  <c r="C27" i="3"/>
  <c r="D58" i="2"/>
  <c r="D57" i="2"/>
  <c r="D19" i="2"/>
  <c r="C70" i="2" s="1"/>
  <c r="E92" i="1"/>
  <c r="E89" i="1"/>
  <c r="D89" i="1"/>
  <c r="E82" i="1"/>
  <c r="D82" i="1"/>
  <c r="B73" i="1"/>
  <c r="B114" i="1"/>
  <c r="B110" i="1"/>
  <c r="C67" i="1"/>
  <c r="D84" i="1"/>
  <c r="E84" i="1"/>
  <c r="D88" i="1"/>
  <c r="E88" i="1"/>
  <c r="D91" i="1"/>
  <c r="E91" i="1"/>
  <c r="E87" i="1"/>
  <c r="D87" i="1"/>
  <c r="D83" i="1"/>
  <c r="E83" i="1"/>
  <c r="E90" i="1"/>
  <c r="E86" i="1"/>
  <c r="D93" i="1"/>
  <c r="D85" i="1"/>
  <c r="E14" i="1"/>
  <c r="D44" i="1"/>
  <c r="E93" i="1"/>
  <c r="G14" i="1"/>
  <c r="C79" i="2" l="1"/>
  <c r="C80" i="2" s="1"/>
  <c r="C81" i="2"/>
  <c r="L14" i="3"/>
  <c r="G25" i="3"/>
  <c r="H25" i="3" s="1"/>
  <c r="G29" i="3"/>
  <c r="L13" i="3"/>
  <c r="G20" i="3"/>
  <c r="L4" i="3"/>
  <c r="H26" i="3"/>
  <c r="L8" i="3"/>
  <c r="G24" i="3"/>
  <c r="G21" i="3"/>
  <c r="L5" i="3"/>
  <c r="G27" i="3"/>
  <c r="L11" i="3"/>
  <c r="H28" i="3"/>
  <c r="G23" i="3"/>
  <c r="L7" i="3"/>
  <c r="L6" i="3"/>
  <c r="G22" i="3"/>
  <c r="H30" i="3"/>
  <c r="C29" i="3"/>
  <c r="C31" i="3" s="1"/>
  <c r="C33" i="3" s="1"/>
  <c r="D61" i="2"/>
  <c r="E104" i="1"/>
  <c r="B72" i="1"/>
  <c r="B109" i="1"/>
  <c r="B111" i="1" s="1"/>
  <c r="G35" i="1"/>
  <c r="G38" i="1" s="1"/>
  <c r="B115" i="1" s="1"/>
  <c r="B116" i="1" s="1"/>
  <c r="B127" i="1"/>
  <c r="B135" i="1" s="1"/>
  <c r="G95" i="1"/>
  <c r="D95" i="1"/>
  <c r="D104" i="1" s="1"/>
  <c r="B119" i="1" s="1"/>
  <c r="G100" i="1"/>
  <c r="F100" i="1"/>
  <c r="F104" i="1" s="1"/>
  <c r="B120" i="1" s="1"/>
  <c r="D63" i="2" l="1"/>
  <c r="E69" i="2" s="1"/>
  <c r="E70" i="2" s="1"/>
  <c r="I30" i="3"/>
  <c r="K30" i="3" s="1"/>
  <c r="M30" i="3" s="1"/>
  <c r="G49" i="3"/>
  <c r="I49" i="3" s="1"/>
  <c r="I25" i="3"/>
  <c r="K25" i="3" s="1"/>
  <c r="M25" i="3" s="1"/>
  <c r="G44" i="3"/>
  <c r="I28" i="3"/>
  <c r="K28" i="3" s="1"/>
  <c r="M28" i="3" s="1"/>
  <c r="G47" i="3"/>
  <c r="I47" i="3" s="1"/>
  <c r="I26" i="3"/>
  <c r="K26" i="3" s="1"/>
  <c r="M26" i="3" s="1"/>
  <c r="G45" i="3"/>
  <c r="I45" i="3" s="1"/>
  <c r="L15" i="3"/>
  <c r="H22" i="3"/>
  <c r="G41" i="3" s="1"/>
  <c r="I41" i="3" s="1"/>
  <c r="I22" i="3"/>
  <c r="K22" i="3" s="1"/>
  <c r="M22" i="3" s="1"/>
  <c r="H20" i="3"/>
  <c r="H24" i="3"/>
  <c r="G43" i="3" s="1"/>
  <c r="I43" i="3" s="1"/>
  <c r="H23" i="3"/>
  <c r="H27" i="3"/>
  <c r="G46" i="3" s="1"/>
  <c r="I46" i="3" s="1"/>
  <c r="H21" i="3"/>
  <c r="H29" i="3"/>
  <c r="G48" i="3" s="1"/>
  <c r="I48" i="3" s="1"/>
  <c r="B74" i="1"/>
  <c r="C75" i="1" s="1"/>
  <c r="B121" i="1"/>
  <c r="G104" i="1"/>
  <c r="I44" i="3" l="1"/>
  <c r="E81" i="2"/>
  <c r="E79" i="2"/>
  <c r="E80" i="2" s="1"/>
  <c r="B75" i="1"/>
  <c r="I27" i="3"/>
  <c r="K27" i="3" s="1"/>
  <c r="M27" i="3" s="1"/>
  <c r="I20" i="3"/>
  <c r="K20" i="3" s="1"/>
  <c r="M20" i="3" s="1"/>
  <c r="G39" i="3"/>
  <c r="I39" i="3" s="1"/>
  <c r="I23" i="3"/>
  <c r="K23" i="3" s="1"/>
  <c r="M23" i="3" s="1"/>
  <c r="G42" i="3"/>
  <c r="I42" i="3" s="1"/>
  <c r="I21" i="3"/>
  <c r="K21" i="3" s="1"/>
  <c r="M21" i="3" s="1"/>
  <c r="G40" i="3"/>
  <c r="I40" i="3" s="1"/>
  <c r="I24" i="3"/>
  <c r="K24" i="3" s="1"/>
  <c r="M24" i="3" s="1"/>
  <c r="I29" i="3"/>
  <c r="G50" i="3" l="1"/>
  <c r="I50" i="3"/>
  <c r="I52" i="3" s="1"/>
  <c r="K29" i="3"/>
  <c r="M29" i="3" l="1"/>
  <c r="M31" i="3" l="1"/>
</calcChain>
</file>

<file path=xl/sharedStrings.xml><?xml version="1.0" encoding="utf-8"?>
<sst xmlns="http://schemas.openxmlformats.org/spreadsheetml/2006/main" count="457" uniqueCount="255">
  <si>
    <t>Direct Material</t>
  </si>
  <si>
    <t>Item</t>
  </si>
  <si>
    <t>Unit Price</t>
  </si>
  <si>
    <t>Units We get</t>
  </si>
  <si>
    <t>Unit</t>
  </si>
  <si>
    <t>Cost Per Unit</t>
  </si>
  <si>
    <t>Total Units</t>
  </si>
  <si>
    <t>Total Cost for 266 Units (Tk)</t>
  </si>
  <si>
    <t>Wooden Pillar</t>
  </si>
  <si>
    <t>Wooden Base</t>
  </si>
  <si>
    <t>Sand</t>
  </si>
  <si>
    <t>Paint</t>
  </si>
  <si>
    <t>Glue</t>
  </si>
  <si>
    <t>Screw</t>
  </si>
  <si>
    <t>Pearl Bead</t>
  </si>
  <si>
    <t>Pebble</t>
  </si>
  <si>
    <t>Label Sticker</t>
  </si>
  <si>
    <t>Glass Jar</t>
  </si>
  <si>
    <t>Total Cost</t>
  </si>
  <si>
    <t>Direct Labor</t>
  </si>
  <si>
    <t>Labour Need</t>
  </si>
  <si>
    <t>Budgeted Production for the Month</t>
  </si>
  <si>
    <t>Time Required Per Product</t>
  </si>
  <si>
    <t>Labour Rate Per Hour</t>
  </si>
  <si>
    <t>Daily Working Hour</t>
  </si>
  <si>
    <t>Working Days Per Month</t>
  </si>
  <si>
    <t>Total Direct Labor Cost</t>
  </si>
  <si>
    <t>Per Unit Labor Cost</t>
  </si>
  <si>
    <t>Manufacturing Overhead</t>
  </si>
  <si>
    <t>Indirect Material</t>
  </si>
  <si>
    <t>Total Needed</t>
  </si>
  <si>
    <t>Paint Brush</t>
  </si>
  <si>
    <t>Sand Paper</t>
  </si>
  <si>
    <t>Gloves</t>
  </si>
  <si>
    <t>Paint Thinner</t>
  </si>
  <si>
    <t>Paper</t>
  </si>
  <si>
    <t>Saw</t>
  </si>
  <si>
    <t>Hammer</t>
  </si>
  <si>
    <t>Screw Driver</t>
  </si>
  <si>
    <t>Glue Gun</t>
  </si>
  <si>
    <t>Glue Stick</t>
  </si>
  <si>
    <t>Total Indirect Material Cost</t>
  </si>
  <si>
    <t>Others</t>
  </si>
  <si>
    <t>Items</t>
  </si>
  <si>
    <t>Estimations</t>
  </si>
  <si>
    <t>Electricity</t>
  </si>
  <si>
    <t>Quality Control</t>
  </si>
  <si>
    <t>Rent</t>
  </si>
  <si>
    <t>Total Other Overhead Cost</t>
  </si>
  <si>
    <t>MOH Calculation</t>
  </si>
  <si>
    <t>Total Indirect Material</t>
  </si>
  <si>
    <t>Total Indirect Labor</t>
  </si>
  <si>
    <t>Total MOH</t>
  </si>
  <si>
    <t>MOH Per Unit</t>
  </si>
  <si>
    <t xml:space="preserve">Selling &amp; Administration Cost </t>
  </si>
  <si>
    <t xml:space="preserve">Category </t>
  </si>
  <si>
    <t xml:space="preserve">Item </t>
  </si>
  <si>
    <t xml:space="preserve">Total </t>
  </si>
  <si>
    <t xml:space="preserve">Selling Cost </t>
  </si>
  <si>
    <t xml:space="preserve">Sales Commission </t>
  </si>
  <si>
    <t>Marketing</t>
  </si>
  <si>
    <t xml:space="preserve">Transportation </t>
  </si>
  <si>
    <t xml:space="preserve">Packaging </t>
  </si>
  <si>
    <t xml:space="preserve">Total Selling Cost </t>
  </si>
  <si>
    <t xml:space="preserve">Administrative Cost </t>
  </si>
  <si>
    <t xml:space="preserve">Office Supplies </t>
  </si>
  <si>
    <t xml:space="preserve">Internet </t>
  </si>
  <si>
    <t xml:space="preserve">Customer Service </t>
  </si>
  <si>
    <t xml:space="preserve">Total Administrative Cost </t>
  </si>
  <si>
    <t xml:space="preserve">Total Selling &amp; Administrative Cost </t>
  </si>
  <si>
    <t xml:space="preserve">Total Manufacturing Cost </t>
  </si>
  <si>
    <t xml:space="preserve">Accounts </t>
  </si>
  <si>
    <t>Total</t>
  </si>
  <si>
    <t xml:space="preserve">Per Unit </t>
  </si>
  <si>
    <t xml:space="preserve">Total Direct Material Cost </t>
  </si>
  <si>
    <t xml:space="preserve">Total Direct Labor Cost </t>
  </si>
  <si>
    <t xml:space="preserve">Total MOH </t>
  </si>
  <si>
    <t xml:space="preserve">Schedule of Direct, Variable, Indirect &amp; Fixed Cost </t>
  </si>
  <si>
    <t xml:space="preserve">Items </t>
  </si>
  <si>
    <t xml:space="preserve">Cost Type </t>
  </si>
  <si>
    <t xml:space="preserve">Variable </t>
  </si>
  <si>
    <t xml:space="preserve">Direct </t>
  </si>
  <si>
    <t xml:space="preserve">Fixed </t>
  </si>
  <si>
    <t xml:space="preserve">Indirect </t>
  </si>
  <si>
    <t xml:space="preserve">Direct Material </t>
  </si>
  <si>
    <t>Direct Variable</t>
  </si>
  <si>
    <t xml:space="preserve">Direct Labor </t>
  </si>
  <si>
    <t xml:space="preserve">Manufacturing Overhead </t>
  </si>
  <si>
    <t>Indirect Labor</t>
  </si>
  <si>
    <t>Indirect Variable</t>
  </si>
  <si>
    <t>Indirect Fixed</t>
  </si>
  <si>
    <t>Selling and Administrative</t>
  </si>
  <si>
    <t>Support cost</t>
  </si>
  <si>
    <t>Procurement</t>
  </si>
  <si>
    <t>Delivery</t>
  </si>
  <si>
    <t xml:space="preserve">Prime Cost </t>
  </si>
  <si>
    <t xml:space="preserve">Total Prime Cost </t>
  </si>
  <si>
    <t xml:space="preserve">Conversion Cost </t>
  </si>
  <si>
    <t>Total Conversion Cost</t>
  </si>
  <si>
    <t xml:space="preserve">Full Cost </t>
  </si>
  <si>
    <t>Total Variable Cost</t>
  </si>
  <si>
    <t xml:space="preserve">Total Fixed Cost </t>
  </si>
  <si>
    <t xml:space="preserve">Total Full Cost </t>
  </si>
  <si>
    <t xml:space="preserve">MOH </t>
  </si>
  <si>
    <t xml:space="preserve">Rationale </t>
  </si>
  <si>
    <t xml:space="preserve">MOH Cost </t>
  </si>
  <si>
    <t xml:space="preserve">Rent </t>
  </si>
  <si>
    <t xml:space="preserve">Electricity </t>
  </si>
  <si>
    <t>Costs for materials indirectly involved in production</t>
  </si>
  <si>
    <t>Monthly utility bill</t>
  </si>
  <si>
    <t>Monthly cost of renting the production facility</t>
  </si>
  <si>
    <t xml:space="preserve">Support Cost </t>
  </si>
  <si>
    <t xml:space="preserve">Procurement Cost </t>
  </si>
  <si>
    <t>Cost associated with procuring raw materials and supplies</t>
  </si>
  <si>
    <t xml:space="preserve">Delivery Cost </t>
  </si>
  <si>
    <t>Costs for delivering finished goods to customers</t>
  </si>
  <si>
    <t>Administrative expenses related to the business</t>
  </si>
  <si>
    <t>Costs incurred while selling the product</t>
  </si>
  <si>
    <t>Support Cost</t>
  </si>
  <si>
    <t>Simple Costing System</t>
  </si>
  <si>
    <t>Cost Accounts</t>
  </si>
  <si>
    <t>Cost Per Unit Of Output</t>
  </si>
  <si>
    <t>Input Per Unit of Output</t>
  </si>
  <si>
    <t>Cost Per Unit of Input</t>
  </si>
  <si>
    <t>MOH(Allocated Using Labor Hours)</t>
  </si>
  <si>
    <t>POHR</t>
  </si>
  <si>
    <t>Unit Product Cost Using Simple Costing</t>
  </si>
  <si>
    <t>Unit Product Cost Under ABC System</t>
  </si>
  <si>
    <t>Cost Pool</t>
  </si>
  <si>
    <t>Cost Driver</t>
  </si>
  <si>
    <t>Activity Cost</t>
  </si>
  <si>
    <t>Cost Driver Quantity</t>
  </si>
  <si>
    <t>Allocated Rate</t>
  </si>
  <si>
    <t>Per Bundle Needed</t>
  </si>
  <si>
    <t>Per Sheet Needed</t>
  </si>
  <si>
    <t>Per Box Needed</t>
  </si>
  <si>
    <t>Per Can Needed</t>
  </si>
  <si>
    <t>Per Packet Needed</t>
  </si>
  <si>
    <t>Per Saw Needed</t>
  </si>
  <si>
    <t>Per Hammer Needed</t>
  </si>
  <si>
    <t>Per Screw Driver Needed</t>
  </si>
  <si>
    <t>Per Gun Needed</t>
  </si>
  <si>
    <t>Other</t>
  </si>
  <si>
    <t xml:space="preserve">Quality Control </t>
  </si>
  <si>
    <t>Machine hours</t>
  </si>
  <si>
    <t>Labour hours</t>
  </si>
  <si>
    <t>Per square feet</t>
  </si>
  <si>
    <t>Labor Hours</t>
  </si>
  <si>
    <t xml:space="preserve">Cost Driver Quantity </t>
  </si>
  <si>
    <t>Direct Materials</t>
  </si>
  <si>
    <t>Total Cost Under ABC System</t>
  </si>
  <si>
    <t>Unit Produced</t>
  </si>
  <si>
    <t>Product Line Profitability under Simple Costing and ABC System</t>
  </si>
  <si>
    <t xml:space="preserve">Simple Costing </t>
  </si>
  <si>
    <t xml:space="preserve">ABC Costing </t>
  </si>
  <si>
    <t>Revenue</t>
  </si>
  <si>
    <t>Less: COGS</t>
  </si>
  <si>
    <t>Total Expenses</t>
  </si>
  <si>
    <t>Gross Profit</t>
  </si>
  <si>
    <t>Net Operating Income</t>
  </si>
  <si>
    <t>Net Profit Margin</t>
  </si>
  <si>
    <t xml:space="preserve"> </t>
  </si>
  <si>
    <t>Gross Profit Margin</t>
  </si>
  <si>
    <t>Accounts</t>
  </si>
  <si>
    <t>Support</t>
  </si>
  <si>
    <t>Department</t>
  </si>
  <si>
    <t>Operating</t>
  </si>
  <si>
    <t>Proof</t>
  </si>
  <si>
    <t>Production</t>
  </si>
  <si>
    <t>Sales</t>
  </si>
  <si>
    <t>Support Supplied by Procurement Department</t>
  </si>
  <si>
    <t>Support Supplied by Delivery Department</t>
  </si>
  <si>
    <t>Allocation of Procurement Department</t>
  </si>
  <si>
    <t>Allocation of Delivery Department</t>
  </si>
  <si>
    <t>Total Cost Allocated</t>
  </si>
  <si>
    <t>Budgeted Cost Incurred Before Allocation</t>
  </si>
  <si>
    <t>Revenue Budget</t>
  </si>
  <si>
    <t>Total Sales</t>
  </si>
  <si>
    <t>Selling Price Per Unit</t>
  </si>
  <si>
    <t>Units To Be Sold</t>
  </si>
  <si>
    <t>Production Budget</t>
  </si>
  <si>
    <t>Direct Labour Budget</t>
  </si>
  <si>
    <t>Quantity</t>
  </si>
  <si>
    <t>Direct Labor Cost Per Unit</t>
  </si>
  <si>
    <t>Manufacturing Overhead Budget</t>
  </si>
  <si>
    <t>MOH/unit</t>
  </si>
  <si>
    <t>Target Ending Inventory of Finished Goods</t>
  </si>
  <si>
    <t>Quantity Needed</t>
  </si>
  <si>
    <t>Beginning Inventory of Finished Goods</t>
  </si>
  <si>
    <t>Quantity To Be Produced</t>
  </si>
  <si>
    <t>Number of Labor</t>
  </si>
  <si>
    <t>Direct Labor Hour Per Unit</t>
  </si>
  <si>
    <t>Direct Labor Rate</t>
  </si>
  <si>
    <t>Total Direct Labor Hours</t>
  </si>
  <si>
    <t>Total Direct Labour Cost</t>
  </si>
  <si>
    <t>Total Production</t>
  </si>
  <si>
    <t>Variable Manufacturing Overhead Rate</t>
  </si>
  <si>
    <t>Total Variable Manufacturing Overhead</t>
  </si>
  <si>
    <t>Fixed Manufacturing Overhead</t>
  </si>
  <si>
    <t>Total Manufacturing Overhead Before Support Cost Allocation</t>
  </si>
  <si>
    <t>Total Manufacturing Overhead After Support Cost Allocation</t>
  </si>
  <si>
    <t>Direct Material Usage</t>
  </si>
  <si>
    <t>Units Required Vase</t>
  </si>
  <si>
    <t>Total Units Used For Production</t>
  </si>
  <si>
    <t>Beginning DM Inventory</t>
  </si>
  <si>
    <t>Total DM Puchase Needed</t>
  </si>
  <si>
    <t>Cost Per DM</t>
  </si>
  <si>
    <t>Total DM Usage</t>
  </si>
  <si>
    <t>Direct Material Purchase</t>
  </si>
  <si>
    <t>Total DM Needed For Production</t>
  </si>
  <si>
    <t>Target Ending DM Inventory</t>
  </si>
  <si>
    <t>Total DM Needed</t>
  </si>
  <si>
    <t>DM Purchase Needed</t>
  </si>
  <si>
    <t>Total DM Purchase</t>
  </si>
  <si>
    <t>Ending Inventory Budget</t>
  </si>
  <si>
    <t>Materials</t>
  </si>
  <si>
    <t>Ending Units</t>
  </si>
  <si>
    <t>Total Finished Goods Inventory</t>
  </si>
  <si>
    <t>Total Ending Inventory</t>
  </si>
  <si>
    <t>Total DM Ending Inventory</t>
  </si>
  <si>
    <t>(15460/800)=19.325</t>
  </si>
  <si>
    <t xml:space="preserve">Traditional Format </t>
  </si>
  <si>
    <t>Budgeted Income Statement</t>
  </si>
  <si>
    <t>Account</t>
  </si>
  <si>
    <t>Sales Revenue</t>
  </si>
  <si>
    <t>COGS</t>
  </si>
  <si>
    <t>Cost of Goods Sold Budget</t>
  </si>
  <si>
    <t>Cost of Goods Manufactured</t>
  </si>
  <si>
    <t>Cost of Goods Available For Sale</t>
  </si>
  <si>
    <t>Ending Finished Goods Inventory</t>
  </si>
  <si>
    <t>Cost of Goods Sold</t>
  </si>
  <si>
    <t>Less: S&amp;A</t>
  </si>
  <si>
    <t>Contribution Format</t>
  </si>
  <si>
    <t>Less: Variable Cost</t>
  </si>
  <si>
    <t>Cotribution Margin</t>
  </si>
  <si>
    <t>Less: Fixed Cost</t>
  </si>
  <si>
    <t>Variable Cost</t>
  </si>
  <si>
    <t>Contribution Margin</t>
  </si>
  <si>
    <t>Per Unit</t>
  </si>
  <si>
    <t>Break Even Point Calculation:</t>
  </si>
  <si>
    <t>Total Fixed Cost</t>
  </si>
  <si>
    <t>Per Unit Contribution Margin</t>
  </si>
  <si>
    <t>Break Even Point in Units</t>
  </si>
  <si>
    <t>Contribution Ratio</t>
  </si>
  <si>
    <t>Break Even Point in BDT</t>
  </si>
  <si>
    <t>Margin of Safety Calculation:</t>
  </si>
  <si>
    <t>Margin of Safety in BDT</t>
  </si>
  <si>
    <t>Margin of Safety in Units</t>
  </si>
  <si>
    <t>Margin of Safety in Ratio</t>
  </si>
  <si>
    <t>Degree of Leverage Calculation:</t>
  </si>
  <si>
    <t>Degree of Leverage</t>
  </si>
  <si>
    <t>If 10% Decrease in Demand</t>
  </si>
  <si>
    <t>If 10% Increase in Direct Material Price</t>
  </si>
  <si>
    <t>If 10% Increase in Demand</t>
  </si>
  <si>
    <t>Support Cost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</si>
</sst>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rgb="FFB7B7B7"/>
      </patternFill>
    </fill>
    <fill>
      <patternFill patternType="solid">
        <fgColor rgb="FFFFCC99"/>
        <bgColor rgb="FFD9D9D9"/>
      </patternFill>
    </fill>
    <fill>
      <patternFill patternType="solid">
        <fgColor rgb="FFFF9999"/>
        <bgColor rgb="FFD9D9D9"/>
      </patternFill>
    </fill>
    <fill>
      <patternFill patternType="solid">
        <fgColor theme="7" tint="0.39997558519241921"/>
        <bgColor rgb="FFB7B7B7"/>
      </patternFill>
    </fill>
    <fill>
      <patternFill patternType="solid">
        <fgColor rgb="FFCC99FF"/>
        <bgColor rgb="FF9FC5E8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39997558519241921"/>
        <bgColor rgb="FFA4C2F4"/>
      </patternFill>
    </fill>
    <fill>
      <patternFill patternType="solid">
        <fgColor rgb="FFCCCCFF"/>
        <bgColor rgb="FF9FC5E8"/>
      </patternFill>
    </fill>
    <fill>
      <patternFill patternType="solid">
        <fgColor rgb="FFCC99FF"/>
        <bgColor rgb="FFD9D9D9"/>
      </patternFill>
    </fill>
    <fill>
      <patternFill patternType="solid">
        <fgColor theme="9" tint="0.39997558519241921"/>
        <bgColor rgb="FFCFE2F3"/>
      </patternFill>
    </fill>
    <fill>
      <patternFill patternType="solid">
        <fgColor rgb="FFCC99FF"/>
        <bgColor rgb="FFCCCCCC"/>
      </patternFill>
    </fill>
    <fill>
      <patternFill patternType="solid">
        <fgColor theme="9" tint="0.39997558519241921"/>
        <bgColor rgb="FFFFEB9C"/>
      </patternFill>
    </fill>
    <fill>
      <patternFill patternType="solid">
        <fgColor theme="7" tint="0.39997558519241921"/>
        <bgColor rgb="FFFCE5CD"/>
      </patternFill>
    </fill>
    <fill>
      <patternFill patternType="solid">
        <fgColor rgb="FFFF9999"/>
        <bgColor rgb="FFF9CB9C"/>
      </patternFill>
    </fill>
    <fill>
      <patternFill patternType="solid">
        <fgColor rgb="FF6699FF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6699FF"/>
        <bgColor rgb="FFCFE2F3"/>
      </patternFill>
    </fill>
    <fill>
      <patternFill patternType="solid">
        <fgColor rgb="FFCCCCFF"/>
        <bgColor rgb="FF45B0E1"/>
      </patternFill>
    </fill>
    <fill>
      <patternFill patternType="solid">
        <fgColor theme="5" tint="0.59999389629810485"/>
        <bgColor rgb="FFC1E4F5"/>
      </patternFill>
    </fill>
    <fill>
      <patternFill patternType="solid">
        <fgColor rgb="FFCCCCFF"/>
        <bgColor rgb="FFF9CB9C"/>
      </patternFill>
    </fill>
    <fill>
      <patternFill patternType="solid">
        <fgColor rgb="FF99CCFF"/>
        <bgColor rgb="FFFCE5CD"/>
      </patternFill>
    </fill>
    <fill>
      <patternFill patternType="solid">
        <fgColor rgb="FF6699FF"/>
        <bgColor rgb="FFFCE5CD"/>
      </patternFill>
    </fill>
    <fill>
      <patternFill patternType="solid">
        <fgColor rgb="FFCCCCFF"/>
        <bgColor rgb="FFFCE5CD"/>
      </patternFill>
    </fill>
    <fill>
      <patternFill patternType="solid">
        <fgColor rgb="FF6699FF"/>
        <bgColor rgb="FFF4CCCC"/>
      </patternFill>
    </fill>
    <fill>
      <patternFill patternType="solid">
        <fgColor rgb="FFCCCCFF"/>
        <bgColor rgb="FFCFE2F3"/>
      </patternFill>
    </fill>
    <fill>
      <patternFill patternType="solid">
        <fgColor rgb="FFCC99FF"/>
        <bgColor rgb="FFF4CCCC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CFE2F3"/>
      </patternFill>
    </fill>
    <fill>
      <patternFill patternType="solid">
        <fgColor rgb="FFCCCCFF"/>
        <bgColor rgb="FFEFEFEF"/>
      </patternFill>
    </fill>
    <fill>
      <patternFill patternType="solid">
        <fgColor theme="7" tint="0.59999389629810485"/>
        <bgColor rgb="FFEFEFEF"/>
      </patternFill>
    </fill>
    <fill>
      <patternFill patternType="solid">
        <fgColor rgb="FFFFCC99"/>
        <bgColor rgb="FFCCCCCC"/>
      </patternFill>
    </fill>
    <fill>
      <patternFill patternType="solid">
        <fgColor rgb="FF99CCFF"/>
        <bgColor rgb="FFEFEFEF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3" borderId="0" xfId="0" applyFont="1" applyFill="1"/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0" borderId="0" xfId="0" applyFont="1" applyFill="1"/>
    <xf numFmtId="0" fontId="1" fillId="9" borderId="0" xfId="0" applyFont="1" applyFill="1"/>
    <xf numFmtId="0" fontId="1" fillId="24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left"/>
    </xf>
    <xf numFmtId="0" fontId="1" fillId="8" borderId="0" xfId="0" applyFont="1" applyFill="1"/>
    <xf numFmtId="0" fontId="2" fillId="8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16" borderId="0" xfId="0" applyFont="1" applyFill="1"/>
    <xf numFmtId="0" fontId="1" fillId="27" borderId="0" xfId="0" applyFont="1" applyFill="1" applyAlignment="1">
      <alignment horizontal="left" vertical="center"/>
    </xf>
    <xf numFmtId="0" fontId="3" fillId="28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3" fontId="1" fillId="29" borderId="0" xfId="0" applyNumberFormat="1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3" fontId="1" fillId="30" borderId="0" xfId="0" applyNumberFormat="1" applyFont="1" applyFill="1" applyAlignment="1">
      <alignment horizontal="center" vertical="center"/>
    </xf>
    <xf numFmtId="0" fontId="1" fillId="31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1" fillId="33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left" vertical="center"/>
    </xf>
    <xf numFmtId="0" fontId="1" fillId="25" borderId="0" xfId="0" applyFont="1" applyFill="1" applyAlignment="1">
      <alignment horizontal="center"/>
    </xf>
    <xf numFmtId="0" fontId="1" fillId="34" borderId="0" xfId="0" applyFont="1" applyFill="1" applyAlignment="1">
      <alignment horizontal="center" vertical="center"/>
    </xf>
    <xf numFmtId="0" fontId="1" fillId="35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" fillId="36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37" borderId="0" xfId="0" applyFont="1" applyFill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9" fontId="1" fillId="16" borderId="0" xfId="0" applyNumberFormat="1" applyFont="1" applyFill="1"/>
    <xf numFmtId="0" fontId="1" fillId="15" borderId="0" xfId="0" applyFont="1" applyFill="1"/>
    <xf numFmtId="0" fontId="1" fillId="39" borderId="0" xfId="0" applyFont="1" applyFill="1" applyAlignment="1">
      <alignment horizontal="center"/>
    </xf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4" fillId="31" borderId="0" xfId="0" applyFont="1" applyFill="1"/>
    <xf numFmtId="0" fontId="2" fillId="44" borderId="0" xfId="0" applyFont="1" applyFill="1"/>
    <xf numFmtId="0" fontId="1" fillId="45" borderId="0" xfId="0" applyFont="1" applyFill="1"/>
    <xf numFmtId="0" fontId="2" fillId="31" borderId="0" xfId="0" applyFont="1" applyFill="1"/>
    <xf numFmtId="0" fontId="2" fillId="42" borderId="0" xfId="0" applyFont="1" applyFill="1" applyAlignment="1">
      <alignment horizontal="center" vertical="center"/>
    </xf>
    <xf numFmtId="0" fontId="2" fillId="34" borderId="0" xfId="0" applyFont="1" applyFill="1"/>
    <xf numFmtId="1" fontId="2" fillId="42" borderId="0" xfId="0" applyNumberFormat="1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" fillId="46" borderId="0" xfId="0" applyFont="1" applyFill="1"/>
    <xf numFmtId="0" fontId="1" fillId="6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7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2" fillId="50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41" borderId="0" xfId="0" applyFont="1" applyFill="1" applyAlignment="1">
      <alignment horizontal="center" vertical="center"/>
    </xf>
    <xf numFmtId="0" fontId="2" fillId="48" borderId="0" xfId="0" applyFont="1" applyFill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42" borderId="0" xfId="0" applyFont="1" applyFill="1" applyBorder="1"/>
    <xf numFmtId="1" fontId="2" fillId="42" borderId="0" xfId="0" applyNumberFormat="1" applyFont="1" applyFill="1" applyBorder="1"/>
    <xf numFmtId="0" fontId="2" fillId="31" borderId="0" xfId="0" applyFont="1" applyFill="1" applyBorder="1"/>
    <xf numFmtId="1" fontId="2" fillId="31" borderId="0" xfId="0" applyNumberFormat="1" applyFont="1" applyFill="1" applyBorder="1"/>
    <xf numFmtId="0" fontId="2" fillId="46" borderId="0" xfId="0" applyFont="1" applyFill="1" applyBorder="1"/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/>
    <xf numFmtId="0" fontId="1" fillId="12" borderId="0" xfId="0" applyFont="1" applyFill="1"/>
    <xf numFmtId="0" fontId="4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left" vertical="center" wrapText="1"/>
    </xf>
    <xf numFmtId="0" fontId="1" fillId="38" borderId="0" xfId="0" applyFont="1" applyFill="1" applyAlignment="1">
      <alignment horizontal="center" vertical="center" wrapText="1"/>
    </xf>
    <xf numFmtId="0" fontId="1" fillId="7" borderId="0" xfId="0" applyFont="1" applyFill="1"/>
    <xf numFmtId="0" fontId="1" fillId="5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9" borderId="0" xfId="0" applyFont="1" applyFill="1" applyAlignment="1">
      <alignment vertical="center"/>
    </xf>
    <xf numFmtId="0" fontId="1" fillId="14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9" borderId="0" xfId="0" applyFont="1" applyFill="1"/>
    <xf numFmtId="0" fontId="1" fillId="7" borderId="0" xfId="0" applyFont="1" applyFill="1" applyAlignment="1">
      <alignment horizontal="center" vertical="center"/>
    </xf>
    <xf numFmtId="0" fontId="2" fillId="4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43" borderId="0" xfId="0" applyFont="1" applyFill="1" applyAlignment="1">
      <alignment horizontal="center"/>
    </xf>
    <xf numFmtId="0" fontId="4" fillId="9" borderId="0" xfId="0" applyFont="1" applyFill="1"/>
    <xf numFmtId="0" fontId="2" fillId="43" borderId="0" xfId="0" applyFont="1" applyFill="1" applyBorder="1" applyAlignment="1">
      <alignment horizontal="center"/>
    </xf>
    <xf numFmtId="0" fontId="4" fillId="9" borderId="0" xfId="0" applyFont="1" applyFill="1" applyBorder="1"/>
    <xf numFmtId="0" fontId="1" fillId="1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51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CC99"/>
      <color rgb="FF6699FF"/>
      <color rgb="FFCC99FF"/>
      <color rgb="FFCCCCFF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zoomScale="90" zoomScaleNormal="90" workbookViewId="0">
      <selection activeCell="E20" sqref="E20"/>
    </sheetView>
  </sheetViews>
  <sheetFormatPr defaultRowHeight="14.4" x14ac:dyDescent="0.3"/>
  <cols>
    <col min="1" max="1" width="36" customWidth="1"/>
    <col min="2" max="2" width="20.6640625" customWidth="1"/>
    <col min="3" max="3" width="58.88671875" customWidth="1"/>
    <col min="4" max="4" width="13.33203125" customWidth="1"/>
    <col min="5" max="5" width="21.88671875" customWidth="1"/>
    <col min="6" max="6" width="14.33203125" customWidth="1"/>
    <col min="7" max="7" width="31.44140625" customWidth="1"/>
    <col min="8" max="8" width="14.33203125" customWidth="1"/>
  </cols>
  <sheetData>
    <row r="1" spans="1:7" ht="15.6" x14ac:dyDescent="0.3">
      <c r="A1" s="129" t="s">
        <v>0</v>
      </c>
      <c r="B1" s="129"/>
      <c r="C1" s="129"/>
      <c r="D1" s="129"/>
      <c r="E1" s="129"/>
      <c r="F1" s="129"/>
      <c r="G1" s="129"/>
    </row>
    <row r="2" spans="1:7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24" customHeight="1" x14ac:dyDescent="0.3">
      <c r="A3" s="25" t="s">
        <v>8</v>
      </c>
      <c r="B3" s="47">
        <v>75</v>
      </c>
      <c r="C3" s="47">
        <v>1</v>
      </c>
      <c r="D3" s="47">
        <v>0.55000000000000004</v>
      </c>
      <c r="E3" s="7">
        <f>B3*D3</f>
        <v>41.25</v>
      </c>
      <c r="F3" s="47">
        <v>266</v>
      </c>
      <c r="G3" s="6">
        <f>E3*F3</f>
        <v>10972.5</v>
      </c>
    </row>
    <row r="4" spans="1:7" ht="21.75" customHeight="1" x14ac:dyDescent="0.3">
      <c r="A4" s="25" t="s">
        <v>9</v>
      </c>
      <c r="B4" s="47">
        <v>75</v>
      </c>
      <c r="C4" s="47">
        <v>1</v>
      </c>
      <c r="D4" s="47">
        <v>9.5000000000000001E-2</v>
      </c>
      <c r="E4" s="7">
        <f t="shared" ref="E4:E13" si="0">B4*D4</f>
        <v>7.125</v>
      </c>
      <c r="F4" s="47">
        <v>266</v>
      </c>
      <c r="G4" s="6">
        <f t="shared" ref="G4:G13" si="1">E4*F4</f>
        <v>1895.25</v>
      </c>
    </row>
    <row r="5" spans="1:7" ht="15.6" x14ac:dyDescent="0.3">
      <c r="A5" s="25" t="s">
        <v>10</v>
      </c>
      <c r="B5" s="47">
        <v>1.2E-2</v>
      </c>
      <c r="C5" s="47">
        <v>1</v>
      </c>
      <c r="D5" s="47">
        <v>1200</v>
      </c>
      <c r="E5" s="7">
        <f t="shared" si="0"/>
        <v>14.4</v>
      </c>
      <c r="F5" s="47">
        <v>266</v>
      </c>
      <c r="G5" s="6">
        <f t="shared" si="1"/>
        <v>3830.4</v>
      </c>
    </row>
    <row r="6" spans="1:7" ht="15.6" x14ac:dyDescent="0.3">
      <c r="A6" s="25" t="s">
        <v>11</v>
      </c>
      <c r="B6" s="47">
        <v>0.3</v>
      </c>
      <c r="C6" s="47">
        <v>1</v>
      </c>
      <c r="D6" s="47">
        <v>300</v>
      </c>
      <c r="E6" s="7">
        <f t="shared" si="0"/>
        <v>90</v>
      </c>
      <c r="F6" s="47">
        <v>266</v>
      </c>
      <c r="G6" s="6">
        <f t="shared" si="1"/>
        <v>23940</v>
      </c>
    </row>
    <row r="7" spans="1:7" ht="15.6" x14ac:dyDescent="0.3">
      <c r="A7" s="25" t="s">
        <v>12</v>
      </c>
      <c r="B7" s="47">
        <v>0.48</v>
      </c>
      <c r="C7" s="47">
        <v>1</v>
      </c>
      <c r="D7" s="47">
        <v>150</v>
      </c>
      <c r="E7" s="7">
        <f t="shared" si="0"/>
        <v>72</v>
      </c>
      <c r="F7" s="47">
        <v>266</v>
      </c>
      <c r="G7" s="6">
        <f t="shared" si="1"/>
        <v>19152</v>
      </c>
    </row>
    <row r="8" spans="1:7" ht="15.6" x14ac:dyDescent="0.3">
      <c r="A8" s="25" t="s">
        <v>13</v>
      </c>
      <c r="B8" s="47">
        <v>1</v>
      </c>
      <c r="C8" s="47">
        <v>1</v>
      </c>
      <c r="D8" s="47">
        <v>4</v>
      </c>
      <c r="E8" s="7">
        <f t="shared" si="0"/>
        <v>4</v>
      </c>
      <c r="F8" s="47">
        <v>266</v>
      </c>
      <c r="G8" s="6">
        <f t="shared" si="1"/>
        <v>1064</v>
      </c>
    </row>
    <row r="9" spans="1:7" ht="21" customHeight="1" x14ac:dyDescent="0.3">
      <c r="A9" s="25" t="s">
        <v>14</v>
      </c>
      <c r="B9" s="47">
        <v>1</v>
      </c>
      <c r="C9" s="47">
        <v>1</v>
      </c>
      <c r="D9" s="92">
        <v>103</v>
      </c>
      <c r="E9" s="7">
        <f t="shared" si="0"/>
        <v>103</v>
      </c>
      <c r="F9" s="47">
        <v>266</v>
      </c>
      <c r="G9" s="6">
        <f t="shared" si="1"/>
        <v>27398</v>
      </c>
    </row>
    <row r="10" spans="1:7" ht="15.6" x14ac:dyDescent="0.3">
      <c r="A10" s="25" t="s">
        <v>15</v>
      </c>
      <c r="B10" s="92">
        <v>0.13300000000000001</v>
      </c>
      <c r="C10" s="92">
        <v>1</v>
      </c>
      <c r="D10" s="47">
        <v>1500</v>
      </c>
      <c r="E10" s="7">
        <f t="shared" si="0"/>
        <v>199.5</v>
      </c>
      <c r="F10" s="47">
        <v>266</v>
      </c>
      <c r="G10" s="6">
        <f t="shared" si="1"/>
        <v>53067</v>
      </c>
    </row>
    <row r="11" spans="1:7" ht="23.25" customHeight="1" x14ac:dyDescent="0.3">
      <c r="A11" s="25" t="s">
        <v>16</v>
      </c>
      <c r="B11" s="47">
        <v>0.625</v>
      </c>
      <c r="C11" s="47">
        <v>1</v>
      </c>
      <c r="D11" s="47">
        <v>1</v>
      </c>
      <c r="E11" s="7">
        <f t="shared" si="0"/>
        <v>0.625</v>
      </c>
      <c r="F11" s="47">
        <v>266</v>
      </c>
      <c r="G11" s="6">
        <f t="shared" si="1"/>
        <v>166.25</v>
      </c>
    </row>
    <row r="12" spans="1:7" ht="20.25" customHeight="1" x14ac:dyDescent="0.3">
      <c r="A12" s="25" t="s">
        <v>17</v>
      </c>
      <c r="B12" s="47">
        <v>150</v>
      </c>
      <c r="C12" s="47">
        <v>1</v>
      </c>
      <c r="D12" s="47">
        <v>1</v>
      </c>
      <c r="E12" s="7">
        <f>B12*D12</f>
        <v>150</v>
      </c>
      <c r="F12" s="47">
        <v>266</v>
      </c>
      <c r="G12" s="6">
        <f t="shared" si="1"/>
        <v>39900</v>
      </c>
    </row>
    <row r="13" spans="1:7" ht="15.6" x14ac:dyDescent="0.3">
      <c r="A13" s="6" t="s">
        <v>40</v>
      </c>
      <c r="B13" s="7">
        <v>12</v>
      </c>
      <c r="C13" s="7">
        <v>1</v>
      </c>
      <c r="D13" s="7">
        <v>1</v>
      </c>
      <c r="E13" s="7">
        <f t="shared" si="0"/>
        <v>12</v>
      </c>
      <c r="F13" s="7">
        <v>266</v>
      </c>
      <c r="G13" s="6">
        <f t="shared" si="1"/>
        <v>3192</v>
      </c>
    </row>
    <row r="14" spans="1:7" ht="15.6" x14ac:dyDescent="0.3">
      <c r="A14" s="93" t="s">
        <v>18</v>
      </c>
      <c r="B14" s="78"/>
      <c r="C14" s="78"/>
      <c r="D14" s="78"/>
      <c r="E14" s="78">
        <f>SUM(E3:E13)</f>
        <v>693.9</v>
      </c>
      <c r="F14" s="78"/>
      <c r="G14" s="78">
        <f>SUM(G3:G13)</f>
        <v>184577.4</v>
      </c>
    </row>
    <row r="15" spans="1:7" ht="15.6" x14ac:dyDescent="0.3">
      <c r="A15" s="94"/>
      <c r="B15" s="94"/>
      <c r="C15" s="94"/>
      <c r="D15" s="94"/>
      <c r="E15" s="94"/>
      <c r="F15" s="94"/>
      <c r="G15" s="94"/>
    </row>
    <row r="16" spans="1:7" ht="15.6" x14ac:dyDescent="0.3">
      <c r="A16" s="94"/>
      <c r="B16" s="94"/>
      <c r="C16" s="94"/>
      <c r="D16" s="94"/>
      <c r="E16" s="94"/>
      <c r="F16" s="94"/>
      <c r="G16" s="94"/>
    </row>
    <row r="17" spans="1:7" ht="15.6" x14ac:dyDescent="0.3">
      <c r="A17" s="130" t="s">
        <v>19</v>
      </c>
      <c r="B17" s="130"/>
      <c r="C17" s="94"/>
      <c r="D17" s="94"/>
      <c r="E17" s="94"/>
      <c r="F17" s="94"/>
      <c r="G17" s="94"/>
    </row>
    <row r="18" spans="1:7" ht="15.6" x14ac:dyDescent="0.3">
      <c r="A18" s="4" t="s">
        <v>1</v>
      </c>
      <c r="B18" s="4" t="s">
        <v>4</v>
      </c>
      <c r="C18" s="94"/>
      <c r="D18" s="94"/>
      <c r="E18" s="94"/>
      <c r="F18" s="94"/>
      <c r="G18" s="94"/>
    </row>
    <row r="19" spans="1:7" ht="15.6" x14ac:dyDescent="0.3">
      <c r="A19" s="48" t="s">
        <v>20</v>
      </c>
      <c r="B19" s="48">
        <v>5</v>
      </c>
      <c r="C19" s="94"/>
      <c r="D19" s="94"/>
      <c r="E19" s="94"/>
      <c r="F19" s="94"/>
      <c r="G19" s="94"/>
    </row>
    <row r="20" spans="1:7" ht="15.6" x14ac:dyDescent="0.3">
      <c r="A20" s="48" t="s">
        <v>21</v>
      </c>
      <c r="B20" s="48">
        <v>266</v>
      </c>
      <c r="C20" s="94"/>
      <c r="D20" s="94"/>
      <c r="E20" s="94"/>
      <c r="F20" s="94"/>
      <c r="G20" s="94"/>
    </row>
    <row r="21" spans="1:7" ht="15.6" x14ac:dyDescent="0.3">
      <c r="A21" s="48" t="s">
        <v>22</v>
      </c>
      <c r="B21" s="48">
        <v>3</v>
      </c>
      <c r="C21" s="94"/>
      <c r="D21" s="94"/>
      <c r="E21" s="94"/>
      <c r="F21" s="94"/>
      <c r="G21" s="94"/>
    </row>
    <row r="22" spans="1:7" ht="15.6" x14ac:dyDescent="0.3">
      <c r="A22" s="48" t="s">
        <v>23</v>
      </c>
      <c r="B22" s="48">
        <v>40</v>
      </c>
      <c r="C22" s="94"/>
      <c r="D22" s="94"/>
      <c r="E22" s="94"/>
      <c r="F22" s="94"/>
      <c r="G22" s="94"/>
    </row>
    <row r="23" spans="1:7" ht="15.6" x14ac:dyDescent="0.3">
      <c r="A23" s="48" t="s">
        <v>24</v>
      </c>
      <c r="B23" s="48">
        <v>8</v>
      </c>
      <c r="C23" s="94"/>
      <c r="D23" s="94"/>
      <c r="E23" s="94"/>
      <c r="F23" s="94"/>
      <c r="G23" s="94"/>
    </row>
    <row r="24" spans="1:7" ht="15.6" x14ac:dyDescent="0.3">
      <c r="A24" s="48" t="s">
        <v>25</v>
      </c>
      <c r="B24" s="17">
        <v>20</v>
      </c>
      <c r="C24" s="94"/>
      <c r="D24" s="94"/>
      <c r="E24" s="94"/>
      <c r="F24" s="94"/>
      <c r="G24" s="94"/>
    </row>
    <row r="25" spans="1:7" ht="15.6" x14ac:dyDescent="0.3">
      <c r="A25" s="17" t="s">
        <v>26</v>
      </c>
      <c r="B25" s="17">
        <f>B19*B22*B23*B24</f>
        <v>32000</v>
      </c>
      <c r="C25" s="94"/>
      <c r="D25" s="94"/>
      <c r="E25" s="94"/>
      <c r="F25" s="94"/>
      <c r="G25" s="94"/>
    </row>
    <row r="26" spans="1:7" ht="15.6" x14ac:dyDescent="0.3">
      <c r="A26" s="5" t="s">
        <v>27</v>
      </c>
      <c r="B26" s="5">
        <f>B25/B20</f>
        <v>120.30075187969925</v>
      </c>
      <c r="C26" s="94"/>
      <c r="D26" s="94"/>
      <c r="E26" s="94"/>
      <c r="F26" s="94"/>
      <c r="G26" s="94"/>
    </row>
    <row r="27" spans="1:7" ht="15.6" x14ac:dyDescent="0.3">
      <c r="A27" s="1"/>
      <c r="B27" s="94"/>
      <c r="C27" s="94"/>
      <c r="D27" s="94"/>
      <c r="E27" s="94"/>
      <c r="F27" s="94"/>
      <c r="G27" s="94"/>
    </row>
    <row r="28" spans="1:7" ht="15.6" x14ac:dyDescent="0.3">
      <c r="A28" s="94"/>
      <c r="B28" s="94"/>
      <c r="C28" s="94"/>
      <c r="D28" s="94"/>
      <c r="E28" s="94"/>
      <c r="F28" s="94"/>
      <c r="G28" s="94"/>
    </row>
    <row r="29" spans="1:7" ht="15.6" x14ac:dyDescent="0.3">
      <c r="A29" s="94"/>
      <c r="B29" s="94"/>
      <c r="C29" s="94"/>
      <c r="D29" s="94"/>
      <c r="E29" s="94"/>
      <c r="F29" s="94"/>
      <c r="G29" s="94"/>
    </row>
    <row r="30" spans="1:7" ht="15.6" x14ac:dyDescent="0.3">
      <c r="A30" s="127" t="s">
        <v>28</v>
      </c>
      <c r="B30" s="127"/>
      <c r="C30" s="127"/>
      <c r="D30" s="127"/>
      <c r="E30" s="94"/>
      <c r="F30" s="94"/>
      <c r="G30" s="94"/>
    </row>
    <row r="31" spans="1:7" ht="15.6" x14ac:dyDescent="0.3">
      <c r="A31" s="94"/>
      <c r="B31" s="94"/>
      <c r="C31" s="94"/>
      <c r="D31" s="94"/>
      <c r="E31" s="94"/>
      <c r="F31" s="94"/>
      <c r="G31" s="94"/>
    </row>
    <row r="32" spans="1:7" ht="15.6" x14ac:dyDescent="0.3">
      <c r="A32" s="94"/>
      <c r="B32" s="94"/>
      <c r="C32" s="94"/>
      <c r="D32" s="94"/>
      <c r="E32" s="94"/>
      <c r="F32" s="94"/>
      <c r="G32" s="94"/>
    </row>
    <row r="33" spans="1:7" ht="15.6" x14ac:dyDescent="0.3">
      <c r="A33" s="131" t="s">
        <v>29</v>
      </c>
      <c r="B33" s="131"/>
      <c r="C33" s="131"/>
      <c r="D33" s="131"/>
      <c r="E33" s="94"/>
      <c r="F33" s="94"/>
      <c r="G33" s="94"/>
    </row>
    <row r="34" spans="1:7" ht="15.6" x14ac:dyDescent="0.3">
      <c r="A34" s="115" t="s">
        <v>1</v>
      </c>
      <c r="B34" s="115" t="s">
        <v>30</v>
      </c>
      <c r="C34" s="115" t="s">
        <v>5</v>
      </c>
      <c r="D34" s="115" t="s">
        <v>18</v>
      </c>
      <c r="E34" s="94"/>
      <c r="F34" s="133" t="s">
        <v>49</v>
      </c>
      <c r="G34" s="133"/>
    </row>
    <row r="35" spans="1:7" ht="31.2" x14ac:dyDescent="0.3">
      <c r="A35" s="116" t="s">
        <v>31</v>
      </c>
      <c r="B35" s="116">
        <v>15</v>
      </c>
      <c r="C35" s="116">
        <v>100</v>
      </c>
      <c r="D35" s="116">
        <f>B35*C35</f>
        <v>1500</v>
      </c>
      <c r="E35" s="94"/>
      <c r="F35" s="117" t="s">
        <v>50</v>
      </c>
      <c r="G35" s="118">
        <f>D44</f>
        <v>6860</v>
      </c>
    </row>
    <row r="36" spans="1:7" ht="31.2" x14ac:dyDescent="0.3">
      <c r="A36" s="116" t="s">
        <v>32</v>
      </c>
      <c r="B36" s="116">
        <v>1</v>
      </c>
      <c r="C36" s="116">
        <v>60</v>
      </c>
      <c r="D36" s="116">
        <f t="shared" ref="D36:D43" si="2">B36*C36</f>
        <v>60</v>
      </c>
      <c r="E36" s="94"/>
      <c r="F36" s="117" t="s">
        <v>51</v>
      </c>
      <c r="G36" s="117">
        <v>2000</v>
      </c>
    </row>
    <row r="37" spans="1:7" ht="46.8" x14ac:dyDescent="0.3">
      <c r="A37" s="116" t="s">
        <v>33</v>
      </c>
      <c r="B37" s="116">
        <v>100</v>
      </c>
      <c r="C37" s="116">
        <v>5</v>
      </c>
      <c r="D37" s="116">
        <f t="shared" si="2"/>
        <v>500</v>
      </c>
      <c r="E37" s="94"/>
      <c r="F37" s="117" t="s">
        <v>48</v>
      </c>
      <c r="G37" s="117">
        <f>B52</f>
        <v>6600</v>
      </c>
    </row>
    <row r="38" spans="1:7" ht="15.6" x14ac:dyDescent="0.3">
      <c r="A38" s="116" t="s">
        <v>34</v>
      </c>
      <c r="B38" s="116">
        <v>14</v>
      </c>
      <c r="C38" s="116">
        <v>200</v>
      </c>
      <c r="D38" s="116">
        <f t="shared" si="2"/>
        <v>2800</v>
      </c>
      <c r="E38" s="94"/>
      <c r="F38" s="117" t="s">
        <v>52</v>
      </c>
      <c r="G38" s="117">
        <f>SUM(G35:G37)</f>
        <v>15460</v>
      </c>
    </row>
    <row r="39" spans="1:7" ht="15.6" x14ac:dyDescent="0.3">
      <c r="A39" s="116" t="s">
        <v>35</v>
      </c>
      <c r="B39" s="116">
        <v>100</v>
      </c>
      <c r="C39" s="116">
        <v>3</v>
      </c>
      <c r="D39" s="116">
        <f t="shared" si="2"/>
        <v>300</v>
      </c>
      <c r="E39" s="94"/>
      <c r="F39" s="119" t="s">
        <v>53</v>
      </c>
      <c r="G39" s="119">
        <f>G38/B20</f>
        <v>58.120300751879697</v>
      </c>
    </row>
    <row r="40" spans="1:7" ht="15.6" x14ac:dyDescent="0.3">
      <c r="A40" s="116" t="s">
        <v>36</v>
      </c>
      <c r="B40" s="116">
        <v>3</v>
      </c>
      <c r="C40" s="116">
        <v>240</v>
      </c>
      <c r="D40" s="116">
        <f t="shared" si="2"/>
        <v>720</v>
      </c>
      <c r="E40" s="94"/>
      <c r="F40" s="94"/>
      <c r="G40" s="94"/>
    </row>
    <row r="41" spans="1:7" ht="15.6" x14ac:dyDescent="0.3">
      <c r="A41" s="116" t="s">
        <v>37</v>
      </c>
      <c r="B41" s="116">
        <v>4</v>
      </c>
      <c r="C41" s="116">
        <v>110</v>
      </c>
      <c r="D41" s="116">
        <f t="shared" si="2"/>
        <v>440</v>
      </c>
      <c r="E41" s="94"/>
      <c r="F41" s="94"/>
      <c r="G41" s="94"/>
    </row>
    <row r="42" spans="1:7" ht="15.6" x14ac:dyDescent="0.3">
      <c r="A42" s="116" t="s">
        <v>38</v>
      </c>
      <c r="B42" s="116">
        <v>4</v>
      </c>
      <c r="C42" s="116">
        <v>80</v>
      </c>
      <c r="D42" s="116">
        <f t="shared" si="2"/>
        <v>320</v>
      </c>
      <c r="E42" s="94"/>
      <c r="F42" s="94"/>
      <c r="G42" s="94"/>
    </row>
    <row r="43" spans="1:7" ht="15.6" x14ac:dyDescent="0.3">
      <c r="A43" s="116" t="s">
        <v>39</v>
      </c>
      <c r="B43" s="2">
        <v>1</v>
      </c>
      <c r="C43" s="2">
        <v>220</v>
      </c>
      <c r="D43" s="116">
        <f t="shared" si="2"/>
        <v>220</v>
      </c>
      <c r="E43" s="94"/>
      <c r="F43" s="94"/>
      <c r="G43" s="94"/>
    </row>
    <row r="44" spans="1:7" ht="15.6" x14ac:dyDescent="0.3">
      <c r="A44" s="3" t="s">
        <v>41</v>
      </c>
      <c r="B44" s="110"/>
      <c r="C44" s="110"/>
      <c r="D44" s="3">
        <f>SUM(D35:D43)</f>
        <v>6860</v>
      </c>
      <c r="E44" s="94"/>
      <c r="F44" s="94"/>
      <c r="G44" s="94"/>
    </row>
    <row r="45" spans="1:7" ht="15.6" x14ac:dyDescent="0.3">
      <c r="A45" s="94"/>
      <c r="B45" s="94"/>
      <c r="C45" s="94"/>
      <c r="D45" s="94"/>
      <c r="E45" s="94"/>
      <c r="F45" s="94"/>
      <c r="G45" s="94"/>
    </row>
    <row r="46" spans="1:7" ht="15.6" x14ac:dyDescent="0.3">
      <c r="A46" s="94"/>
      <c r="B46" s="94"/>
      <c r="C46" s="94"/>
      <c r="D46" s="94"/>
      <c r="E46" s="94"/>
      <c r="F46" s="94"/>
      <c r="G46" s="94"/>
    </row>
    <row r="47" spans="1:7" ht="15.6" x14ac:dyDescent="0.3">
      <c r="A47" s="132" t="s">
        <v>42</v>
      </c>
      <c r="B47" s="132"/>
      <c r="C47" s="94"/>
      <c r="D47" s="94"/>
      <c r="E47" s="94"/>
      <c r="F47" s="94"/>
      <c r="G47" s="94"/>
    </row>
    <row r="48" spans="1:7" ht="15.6" x14ac:dyDescent="0.3">
      <c r="A48" s="52" t="s">
        <v>43</v>
      </c>
      <c r="B48" s="52" t="s">
        <v>44</v>
      </c>
      <c r="C48" s="94"/>
      <c r="D48" s="94"/>
      <c r="E48" s="94"/>
      <c r="F48" s="94"/>
      <c r="G48" s="94"/>
    </row>
    <row r="49" spans="1:7" ht="15.6" x14ac:dyDescent="0.3">
      <c r="A49" s="120" t="s">
        <v>45</v>
      </c>
      <c r="B49" s="120">
        <v>1600</v>
      </c>
      <c r="C49" s="94"/>
      <c r="D49" s="94"/>
      <c r="E49" s="94"/>
      <c r="F49" s="94"/>
      <c r="G49" s="94"/>
    </row>
    <row r="50" spans="1:7" ht="15.6" x14ac:dyDescent="0.3">
      <c r="A50" s="120" t="s">
        <v>46</v>
      </c>
      <c r="B50" s="120">
        <v>1000</v>
      </c>
      <c r="C50" s="94"/>
      <c r="D50" s="94"/>
      <c r="E50" s="94"/>
      <c r="F50" s="94"/>
      <c r="G50" s="94"/>
    </row>
    <row r="51" spans="1:7" ht="15.6" x14ac:dyDescent="0.3">
      <c r="A51" s="120" t="s">
        <v>47</v>
      </c>
      <c r="B51" s="120">
        <v>4000</v>
      </c>
      <c r="C51" s="94"/>
      <c r="D51" s="94"/>
      <c r="E51" s="94"/>
      <c r="F51" s="94"/>
      <c r="G51" s="94"/>
    </row>
    <row r="52" spans="1:7" ht="15.6" x14ac:dyDescent="0.3">
      <c r="A52" s="8" t="s">
        <v>48</v>
      </c>
      <c r="B52" s="8">
        <f>SUM(B49:B51)</f>
        <v>6600</v>
      </c>
      <c r="C52" s="94"/>
      <c r="D52" s="94"/>
      <c r="E52" s="94"/>
      <c r="F52" s="94"/>
      <c r="G52" s="94"/>
    </row>
    <row r="53" spans="1:7" ht="15.6" x14ac:dyDescent="0.3">
      <c r="A53" s="94"/>
      <c r="B53" s="94"/>
      <c r="C53" s="94"/>
      <c r="D53" s="94"/>
      <c r="E53" s="94"/>
      <c r="F53" s="94"/>
      <c r="G53" s="94"/>
    </row>
    <row r="54" spans="1:7" ht="15.6" x14ac:dyDescent="0.3">
      <c r="A54" s="94"/>
      <c r="B54" s="94"/>
      <c r="C54" s="94"/>
      <c r="D54" s="94"/>
      <c r="E54" s="94"/>
      <c r="F54" s="94"/>
      <c r="G54" s="94"/>
    </row>
    <row r="55" spans="1:7" ht="15.6" x14ac:dyDescent="0.3">
      <c r="A55" s="94"/>
      <c r="B55" s="94"/>
      <c r="C55" s="94"/>
      <c r="D55" s="94"/>
      <c r="E55" s="94"/>
      <c r="F55" s="94"/>
      <c r="G55" s="94"/>
    </row>
    <row r="56" spans="1:7" ht="15.6" x14ac:dyDescent="0.3">
      <c r="A56" s="126" t="s">
        <v>54</v>
      </c>
      <c r="B56" s="126"/>
      <c r="C56" s="126"/>
      <c r="D56" s="94"/>
      <c r="E56" s="94"/>
      <c r="F56" s="94"/>
      <c r="G56" s="94"/>
    </row>
    <row r="57" spans="1:7" ht="15.6" x14ac:dyDescent="0.3">
      <c r="A57" s="9" t="s">
        <v>55</v>
      </c>
      <c r="B57" s="9" t="s">
        <v>56</v>
      </c>
      <c r="C57" s="9" t="s">
        <v>57</v>
      </c>
      <c r="D57" s="94"/>
      <c r="E57" s="94"/>
      <c r="F57" s="94"/>
      <c r="G57" s="94"/>
    </row>
    <row r="58" spans="1:7" ht="15.6" x14ac:dyDescent="0.3">
      <c r="A58" s="10" t="s">
        <v>58</v>
      </c>
      <c r="B58" s="123" t="s">
        <v>59</v>
      </c>
      <c r="C58" s="116">
        <v>4000</v>
      </c>
      <c r="D58" s="94"/>
      <c r="E58" s="94"/>
      <c r="F58" s="94"/>
      <c r="G58" s="94"/>
    </row>
    <row r="59" spans="1:7" ht="15.6" x14ac:dyDescent="0.3">
      <c r="A59" s="12"/>
      <c r="B59" s="123" t="s">
        <v>60</v>
      </c>
      <c r="C59" s="116">
        <v>2500</v>
      </c>
      <c r="D59" s="94"/>
      <c r="E59" s="94"/>
      <c r="F59" s="94"/>
      <c r="G59" s="94"/>
    </row>
    <row r="60" spans="1:7" ht="15.6" x14ac:dyDescent="0.3">
      <c r="A60" s="12"/>
      <c r="B60" s="123" t="s">
        <v>61</v>
      </c>
      <c r="C60" s="116">
        <v>3600</v>
      </c>
      <c r="D60" s="94"/>
      <c r="E60" s="94"/>
      <c r="F60" s="94"/>
      <c r="G60" s="94"/>
    </row>
    <row r="61" spans="1:7" ht="15.6" x14ac:dyDescent="0.3">
      <c r="A61" s="12"/>
      <c r="B61" s="123" t="s">
        <v>62</v>
      </c>
      <c r="C61" s="116">
        <v>2500</v>
      </c>
      <c r="D61" s="94"/>
      <c r="E61" s="94"/>
      <c r="F61" s="94"/>
      <c r="G61" s="94"/>
    </row>
    <row r="62" spans="1:7" ht="15.6" x14ac:dyDescent="0.3">
      <c r="A62" s="11" t="s">
        <v>63</v>
      </c>
      <c r="B62" s="8"/>
      <c r="C62" s="8">
        <f>SUM(C58:C61)</f>
        <v>12600</v>
      </c>
      <c r="D62" s="94"/>
      <c r="E62" s="94"/>
      <c r="F62" s="94"/>
      <c r="G62" s="94"/>
    </row>
    <row r="63" spans="1:7" ht="15.6" x14ac:dyDescent="0.3">
      <c r="A63" s="10" t="s">
        <v>64</v>
      </c>
      <c r="B63" s="123" t="s">
        <v>65</v>
      </c>
      <c r="C63" s="116">
        <v>1500</v>
      </c>
      <c r="D63" s="94"/>
      <c r="E63" s="94"/>
      <c r="F63" s="94"/>
      <c r="G63" s="94"/>
    </row>
    <row r="64" spans="1:7" ht="15.6" x14ac:dyDescent="0.3">
      <c r="A64" s="12"/>
      <c r="B64" s="123" t="s">
        <v>66</v>
      </c>
      <c r="C64" s="116">
        <v>500</v>
      </c>
      <c r="D64" s="94"/>
      <c r="E64" s="94"/>
      <c r="F64" s="94"/>
      <c r="G64" s="94"/>
    </row>
    <row r="65" spans="1:7" ht="15.6" x14ac:dyDescent="0.3">
      <c r="A65" s="12"/>
      <c r="B65" s="123" t="s">
        <v>67</v>
      </c>
      <c r="C65" s="116">
        <v>3000</v>
      </c>
      <c r="D65" s="94"/>
      <c r="E65" s="94"/>
      <c r="F65" s="94"/>
      <c r="G65" s="94"/>
    </row>
    <row r="66" spans="1:7" ht="15.6" x14ac:dyDescent="0.3">
      <c r="A66" s="11" t="s">
        <v>68</v>
      </c>
      <c r="B66" s="8"/>
      <c r="C66" s="8">
        <f>SUM(C63:C65)</f>
        <v>5000</v>
      </c>
      <c r="D66" s="94"/>
      <c r="E66" s="94"/>
      <c r="F66" s="94"/>
      <c r="G66" s="94"/>
    </row>
    <row r="67" spans="1:7" ht="15.6" x14ac:dyDescent="0.3">
      <c r="A67" s="13" t="s">
        <v>69</v>
      </c>
      <c r="B67" s="91"/>
      <c r="C67" s="91">
        <f>C62+C66</f>
        <v>17600</v>
      </c>
      <c r="D67" s="94"/>
      <c r="E67" s="94"/>
      <c r="F67" s="94"/>
      <c r="G67" s="94"/>
    </row>
    <row r="68" spans="1:7" ht="15.6" x14ac:dyDescent="0.3">
      <c r="A68" s="94"/>
      <c r="B68" s="94"/>
      <c r="C68" s="94"/>
      <c r="D68" s="94"/>
      <c r="E68" s="94"/>
      <c r="F68" s="94"/>
      <c r="G68" s="94"/>
    </row>
    <row r="69" spans="1:7" ht="15.6" x14ac:dyDescent="0.3">
      <c r="A69" s="94"/>
      <c r="B69" s="94"/>
      <c r="C69" s="94"/>
      <c r="D69" s="94"/>
      <c r="E69" s="94"/>
      <c r="F69" s="94"/>
      <c r="G69" s="94"/>
    </row>
    <row r="70" spans="1:7" ht="15.6" x14ac:dyDescent="0.3">
      <c r="A70" s="127" t="s">
        <v>70</v>
      </c>
      <c r="B70" s="127"/>
      <c r="C70" s="127"/>
      <c r="D70" s="94"/>
      <c r="E70" s="94"/>
      <c r="F70" s="94"/>
      <c r="G70" s="94"/>
    </row>
    <row r="71" spans="1:7" ht="15.6" x14ac:dyDescent="0.3">
      <c r="A71" s="14" t="s">
        <v>71</v>
      </c>
      <c r="B71" s="14" t="s">
        <v>72</v>
      </c>
      <c r="C71" s="14" t="s">
        <v>73</v>
      </c>
      <c r="D71" s="94"/>
      <c r="E71" s="94"/>
      <c r="F71" s="94"/>
      <c r="G71" s="94"/>
    </row>
    <row r="72" spans="1:7" ht="15.6" x14ac:dyDescent="0.3">
      <c r="A72" s="15" t="s">
        <v>74</v>
      </c>
      <c r="B72" s="111">
        <f>G14</f>
        <v>184577.4</v>
      </c>
      <c r="C72" s="111">
        <f>B72/B20</f>
        <v>693.9</v>
      </c>
      <c r="D72" s="94"/>
      <c r="E72" s="94"/>
      <c r="F72" s="94"/>
      <c r="G72" s="94"/>
    </row>
    <row r="73" spans="1:7" ht="15.6" x14ac:dyDescent="0.3">
      <c r="A73" s="15" t="s">
        <v>75</v>
      </c>
      <c r="B73" s="111">
        <f>B25</f>
        <v>32000</v>
      </c>
      <c r="C73" s="111">
        <f>B73/B20</f>
        <v>120.30075187969925</v>
      </c>
      <c r="D73" s="94"/>
      <c r="E73" s="94"/>
      <c r="F73" s="94"/>
      <c r="G73" s="94"/>
    </row>
    <row r="74" spans="1:7" ht="15.6" x14ac:dyDescent="0.3">
      <c r="A74" s="15" t="s">
        <v>76</v>
      </c>
      <c r="B74" s="111">
        <f>G38</f>
        <v>15460</v>
      </c>
      <c r="C74" s="111">
        <f>B74/B20</f>
        <v>58.120300751879697</v>
      </c>
      <c r="D74" s="94"/>
      <c r="E74" s="94"/>
      <c r="F74" s="94"/>
      <c r="G74" s="94"/>
    </row>
    <row r="75" spans="1:7" ht="15.6" x14ac:dyDescent="0.3">
      <c r="A75" s="16" t="s">
        <v>70</v>
      </c>
      <c r="B75" s="112">
        <f>SUM(B72:B74)</f>
        <v>232037.4</v>
      </c>
      <c r="C75" s="112">
        <f>SUM(C72:C74)</f>
        <v>872.32105263157894</v>
      </c>
      <c r="D75" s="94"/>
      <c r="E75" s="94"/>
      <c r="F75" s="94"/>
      <c r="G75" s="94"/>
    </row>
    <row r="76" spans="1:7" ht="15.6" x14ac:dyDescent="0.3">
      <c r="A76" s="94"/>
      <c r="B76" s="94"/>
      <c r="C76" s="94"/>
      <c r="D76" s="94"/>
      <c r="E76" s="94"/>
      <c r="F76" s="94"/>
      <c r="G76" s="94"/>
    </row>
    <row r="77" spans="1:7" ht="15.6" x14ac:dyDescent="0.3">
      <c r="A77" s="94"/>
      <c r="B77" s="94"/>
      <c r="C77" s="94"/>
      <c r="D77" s="94"/>
      <c r="E77" s="94"/>
      <c r="F77" s="94"/>
      <c r="G77" s="94"/>
    </row>
    <row r="78" spans="1:7" ht="15.6" x14ac:dyDescent="0.3">
      <c r="A78" s="94"/>
      <c r="B78" s="94"/>
      <c r="C78" s="94"/>
      <c r="D78" s="94"/>
      <c r="E78" s="94"/>
      <c r="F78" s="94"/>
      <c r="G78" s="94"/>
    </row>
    <row r="79" spans="1:7" ht="15.6" x14ac:dyDescent="0.3">
      <c r="A79" s="128" t="s">
        <v>77</v>
      </c>
      <c r="B79" s="128"/>
      <c r="C79" s="128"/>
      <c r="D79" s="128"/>
      <c r="E79" s="128"/>
      <c r="F79" s="128"/>
      <c r="G79" s="128"/>
    </row>
    <row r="80" spans="1:7" ht="15.6" x14ac:dyDescent="0.3">
      <c r="A80" s="19"/>
      <c r="B80" s="21" t="s">
        <v>78</v>
      </c>
      <c r="C80" s="21" t="s">
        <v>79</v>
      </c>
      <c r="D80" s="21" t="s">
        <v>80</v>
      </c>
      <c r="E80" s="21" t="s">
        <v>81</v>
      </c>
      <c r="F80" s="21" t="s">
        <v>82</v>
      </c>
      <c r="G80" s="21" t="s">
        <v>83</v>
      </c>
    </row>
    <row r="81" spans="1:7" ht="15.6" x14ac:dyDescent="0.3">
      <c r="A81" s="23" t="s">
        <v>84</v>
      </c>
      <c r="B81" s="20"/>
      <c r="C81" s="20"/>
      <c r="D81" s="20"/>
      <c r="E81" s="20"/>
      <c r="F81" s="20"/>
      <c r="G81" s="20"/>
    </row>
    <row r="82" spans="1:7" ht="15.6" x14ac:dyDescent="0.3">
      <c r="A82" s="24"/>
      <c r="B82" s="25" t="s">
        <v>8</v>
      </c>
      <c r="C82" s="22" t="s">
        <v>85</v>
      </c>
      <c r="D82" s="6">
        <f>G3</f>
        <v>10972.5</v>
      </c>
      <c r="E82" s="6">
        <f>G3</f>
        <v>10972.5</v>
      </c>
      <c r="F82" s="24"/>
      <c r="G82" s="24"/>
    </row>
    <row r="83" spans="1:7" ht="15.6" x14ac:dyDescent="0.3">
      <c r="A83" s="24"/>
      <c r="B83" s="25" t="s">
        <v>9</v>
      </c>
      <c r="C83" s="22" t="s">
        <v>85</v>
      </c>
      <c r="D83" s="6">
        <f t="shared" ref="D83:D92" si="3">G4</f>
        <v>1895.25</v>
      </c>
      <c r="E83" s="6">
        <f t="shared" ref="E83:E92" si="4">G4</f>
        <v>1895.25</v>
      </c>
      <c r="F83" s="24"/>
      <c r="G83" s="24"/>
    </row>
    <row r="84" spans="1:7" ht="15.6" x14ac:dyDescent="0.3">
      <c r="A84" s="24"/>
      <c r="B84" s="25" t="s">
        <v>10</v>
      </c>
      <c r="C84" s="22" t="s">
        <v>85</v>
      </c>
      <c r="D84" s="6">
        <f t="shared" si="3"/>
        <v>3830.4</v>
      </c>
      <c r="E84" s="6">
        <f t="shared" si="4"/>
        <v>3830.4</v>
      </c>
      <c r="F84" s="24"/>
      <c r="G84" s="24"/>
    </row>
    <row r="85" spans="1:7" ht="15.6" x14ac:dyDescent="0.3">
      <c r="A85" s="24"/>
      <c r="B85" s="25" t="s">
        <v>11</v>
      </c>
      <c r="C85" s="22" t="s">
        <v>85</v>
      </c>
      <c r="D85" s="6">
        <f t="shared" si="3"/>
        <v>23940</v>
      </c>
      <c r="E85" s="6">
        <f t="shared" si="4"/>
        <v>23940</v>
      </c>
      <c r="F85" s="24"/>
      <c r="G85" s="24"/>
    </row>
    <row r="86" spans="1:7" ht="15.6" x14ac:dyDescent="0.3">
      <c r="A86" s="24"/>
      <c r="B86" s="25" t="s">
        <v>12</v>
      </c>
      <c r="C86" s="22" t="s">
        <v>85</v>
      </c>
      <c r="D86" s="6">
        <f t="shared" si="3"/>
        <v>19152</v>
      </c>
      <c r="E86" s="6">
        <f t="shared" si="4"/>
        <v>19152</v>
      </c>
      <c r="F86" s="24"/>
      <c r="G86" s="24"/>
    </row>
    <row r="87" spans="1:7" ht="15.6" x14ac:dyDescent="0.3">
      <c r="A87" s="24"/>
      <c r="B87" s="25" t="s">
        <v>13</v>
      </c>
      <c r="C87" s="22" t="s">
        <v>85</v>
      </c>
      <c r="D87" s="6">
        <f t="shared" si="3"/>
        <v>1064</v>
      </c>
      <c r="E87" s="6">
        <f t="shared" si="4"/>
        <v>1064</v>
      </c>
      <c r="F87" s="24"/>
      <c r="G87" s="24"/>
    </row>
    <row r="88" spans="1:7" ht="15.6" x14ac:dyDescent="0.3">
      <c r="A88" s="24"/>
      <c r="B88" s="25" t="s">
        <v>14</v>
      </c>
      <c r="C88" s="22" t="s">
        <v>85</v>
      </c>
      <c r="D88" s="6">
        <f t="shared" si="3"/>
        <v>27398</v>
      </c>
      <c r="E88" s="6">
        <f t="shared" si="4"/>
        <v>27398</v>
      </c>
      <c r="F88" s="24"/>
      <c r="G88" s="24"/>
    </row>
    <row r="89" spans="1:7" ht="15.6" x14ac:dyDescent="0.3">
      <c r="A89" s="24"/>
      <c r="B89" s="25" t="s">
        <v>15</v>
      </c>
      <c r="C89" s="22" t="s">
        <v>85</v>
      </c>
      <c r="D89" s="6">
        <f t="shared" si="3"/>
        <v>53067</v>
      </c>
      <c r="E89" s="6">
        <f t="shared" si="4"/>
        <v>53067</v>
      </c>
      <c r="F89" s="24"/>
      <c r="G89" s="24"/>
    </row>
    <row r="90" spans="1:7" ht="15.6" x14ac:dyDescent="0.3">
      <c r="A90" s="24"/>
      <c r="B90" s="25" t="s">
        <v>16</v>
      </c>
      <c r="C90" s="22" t="s">
        <v>85</v>
      </c>
      <c r="D90" s="6">
        <f t="shared" si="3"/>
        <v>166.25</v>
      </c>
      <c r="E90" s="6">
        <f t="shared" si="4"/>
        <v>166.25</v>
      </c>
      <c r="F90" s="24"/>
      <c r="G90" s="24"/>
    </row>
    <row r="91" spans="1:7" ht="15.6" x14ac:dyDescent="0.3">
      <c r="A91" s="24"/>
      <c r="B91" s="25" t="s">
        <v>17</v>
      </c>
      <c r="C91" s="22" t="s">
        <v>85</v>
      </c>
      <c r="D91" s="6">
        <f t="shared" si="3"/>
        <v>39900</v>
      </c>
      <c r="E91" s="6">
        <f t="shared" si="4"/>
        <v>39900</v>
      </c>
      <c r="F91" s="24"/>
      <c r="G91" s="24"/>
    </row>
    <row r="92" spans="1:7" ht="15.6" x14ac:dyDescent="0.3">
      <c r="A92" s="24"/>
      <c r="B92" s="6" t="s">
        <v>40</v>
      </c>
      <c r="C92" s="22" t="s">
        <v>85</v>
      </c>
      <c r="D92" s="6">
        <f t="shared" si="3"/>
        <v>3192</v>
      </c>
      <c r="E92" s="6">
        <f t="shared" si="4"/>
        <v>3192</v>
      </c>
      <c r="F92" s="24"/>
      <c r="G92" s="24"/>
    </row>
    <row r="93" spans="1:7" ht="15.6" x14ac:dyDescent="0.3">
      <c r="A93" s="26" t="s">
        <v>86</v>
      </c>
      <c r="B93" s="20"/>
      <c r="C93" s="20"/>
      <c r="D93" s="5">
        <f>B25</f>
        <v>32000</v>
      </c>
      <c r="E93" s="5">
        <f>B25</f>
        <v>32000</v>
      </c>
      <c r="F93" s="5"/>
      <c r="G93" s="5"/>
    </row>
    <row r="94" spans="1:7" ht="15.6" x14ac:dyDescent="0.3">
      <c r="A94" s="26" t="s">
        <v>87</v>
      </c>
      <c r="B94" s="113"/>
      <c r="C94" s="113"/>
      <c r="D94" s="5"/>
      <c r="E94" s="5"/>
      <c r="F94" s="5"/>
      <c r="G94" s="5"/>
    </row>
    <row r="95" spans="1:7" ht="15.6" x14ac:dyDescent="0.3">
      <c r="A95" s="114"/>
      <c r="B95" s="121" t="s">
        <v>29</v>
      </c>
      <c r="C95" s="121" t="s">
        <v>89</v>
      </c>
      <c r="D95" s="27">
        <f>D44</f>
        <v>6860</v>
      </c>
      <c r="E95" s="27"/>
      <c r="F95" s="27"/>
      <c r="G95" s="27">
        <f>D44</f>
        <v>6860</v>
      </c>
    </row>
    <row r="96" spans="1:7" ht="15.6" x14ac:dyDescent="0.3">
      <c r="A96" s="114"/>
      <c r="B96" s="121" t="s">
        <v>88</v>
      </c>
      <c r="C96" s="121" t="s">
        <v>90</v>
      </c>
      <c r="D96" s="27"/>
      <c r="E96" s="27"/>
      <c r="F96" s="27">
        <f>G36</f>
        <v>2000</v>
      </c>
      <c r="G96" s="27">
        <f>G36</f>
        <v>2000</v>
      </c>
    </row>
    <row r="97" spans="1:7" ht="15.6" x14ac:dyDescent="0.3">
      <c r="A97" s="114"/>
      <c r="B97" s="121" t="s">
        <v>45</v>
      </c>
      <c r="C97" s="121" t="s">
        <v>90</v>
      </c>
      <c r="D97" s="27"/>
      <c r="E97" s="27"/>
      <c r="F97" s="121">
        <f>B49</f>
        <v>1600</v>
      </c>
      <c r="G97" s="121">
        <f>B49</f>
        <v>1600</v>
      </c>
    </row>
    <row r="98" spans="1:7" ht="15.6" x14ac:dyDescent="0.3">
      <c r="A98" s="114"/>
      <c r="B98" s="121" t="s">
        <v>46</v>
      </c>
      <c r="C98" s="121" t="s">
        <v>90</v>
      </c>
      <c r="D98" s="27"/>
      <c r="E98" s="27"/>
      <c r="F98" s="121">
        <f>B50</f>
        <v>1000</v>
      </c>
      <c r="G98" s="121">
        <f>B50</f>
        <v>1000</v>
      </c>
    </row>
    <row r="99" spans="1:7" ht="15.6" x14ac:dyDescent="0.3">
      <c r="A99" s="114"/>
      <c r="B99" s="121" t="s">
        <v>47</v>
      </c>
      <c r="C99" s="121" t="s">
        <v>90</v>
      </c>
      <c r="D99" s="27"/>
      <c r="E99" s="27"/>
      <c r="F99" s="121">
        <f>B51</f>
        <v>4000</v>
      </c>
      <c r="G99" s="121">
        <f>B51</f>
        <v>4000</v>
      </c>
    </row>
    <row r="100" spans="1:7" ht="15.6" x14ac:dyDescent="0.3">
      <c r="A100" s="30" t="s">
        <v>91</v>
      </c>
      <c r="B100" s="20"/>
      <c r="C100" s="28" t="s">
        <v>90</v>
      </c>
      <c r="D100" s="20"/>
      <c r="E100" s="20"/>
      <c r="F100" s="5">
        <f>C67</f>
        <v>17600</v>
      </c>
      <c r="G100" s="5">
        <f>C67</f>
        <v>17600</v>
      </c>
    </row>
    <row r="101" spans="1:7" ht="15.6" x14ac:dyDescent="0.3">
      <c r="A101" s="30" t="s">
        <v>92</v>
      </c>
      <c r="B101" s="20"/>
      <c r="C101" s="20"/>
      <c r="D101" s="20"/>
      <c r="E101" s="20"/>
      <c r="F101" s="20"/>
      <c r="G101" s="20"/>
    </row>
    <row r="102" spans="1:7" ht="15.6" x14ac:dyDescent="0.3">
      <c r="A102" s="29"/>
      <c r="B102" s="119" t="s">
        <v>93</v>
      </c>
      <c r="C102" s="119" t="s">
        <v>90</v>
      </c>
      <c r="D102" s="122"/>
      <c r="E102" s="122"/>
      <c r="F102" s="119">
        <v>700</v>
      </c>
      <c r="G102" s="119">
        <v>700</v>
      </c>
    </row>
    <row r="103" spans="1:7" ht="15.6" x14ac:dyDescent="0.3">
      <c r="A103" s="29"/>
      <c r="B103" s="119" t="s">
        <v>94</v>
      </c>
      <c r="C103" s="119" t="s">
        <v>90</v>
      </c>
      <c r="D103" s="122"/>
      <c r="E103" s="122"/>
      <c r="F103" s="119">
        <v>460</v>
      </c>
      <c r="G103" s="119">
        <v>460</v>
      </c>
    </row>
    <row r="104" spans="1:7" ht="15.6" x14ac:dyDescent="0.3">
      <c r="A104" s="18" t="s">
        <v>72</v>
      </c>
      <c r="B104" s="61"/>
      <c r="C104" s="61"/>
      <c r="D104" s="18">
        <f>SUM(D82:D95)</f>
        <v>223437.4</v>
      </c>
      <c r="E104" s="18">
        <f>SUM(E82:E94)</f>
        <v>216577.4</v>
      </c>
      <c r="F104" s="18">
        <f>SUM(F96:F103)</f>
        <v>27360</v>
      </c>
      <c r="G104" s="18">
        <f>SUM(G95:G103)</f>
        <v>34220</v>
      </c>
    </row>
    <row r="105" spans="1:7" ht="15.6" x14ac:dyDescent="0.3">
      <c r="A105" s="94"/>
      <c r="B105" s="94"/>
      <c r="C105" s="94"/>
      <c r="D105" s="94"/>
      <c r="E105" s="94"/>
      <c r="F105" s="94"/>
      <c r="G105" s="94"/>
    </row>
    <row r="106" spans="1:7" ht="15.6" x14ac:dyDescent="0.3">
      <c r="A106" s="94"/>
      <c r="B106" s="94"/>
      <c r="C106" s="94"/>
      <c r="D106" s="94"/>
      <c r="E106" s="94"/>
      <c r="F106" s="94"/>
      <c r="G106" s="94"/>
    </row>
    <row r="107" spans="1:7" ht="15.6" x14ac:dyDescent="0.3">
      <c r="A107" s="94"/>
      <c r="B107" s="94"/>
      <c r="C107" s="94"/>
      <c r="D107" s="94"/>
      <c r="E107" s="94"/>
      <c r="F107" s="94"/>
      <c r="G107" s="94"/>
    </row>
    <row r="108" spans="1:7" ht="15.6" x14ac:dyDescent="0.3">
      <c r="A108" s="32" t="s">
        <v>95</v>
      </c>
      <c r="B108" s="31"/>
      <c r="C108" s="94"/>
      <c r="D108" s="94"/>
      <c r="E108" s="94"/>
      <c r="F108" s="94"/>
      <c r="G108" s="94"/>
    </row>
    <row r="109" spans="1:7" ht="15.6" x14ac:dyDescent="0.3">
      <c r="A109" s="33" t="s">
        <v>84</v>
      </c>
      <c r="B109" s="33">
        <f>G14</f>
        <v>184577.4</v>
      </c>
      <c r="C109" s="94"/>
      <c r="D109" s="94"/>
      <c r="E109" s="94"/>
      <c r="F109" s="94"/>
      <c r="G109" s="94"/>
    </row>
    <row r="110" spans="1:7" ht="15.6" x14ac:dyDescent="0.3">
      <c r="A110" s="33" t="s">
        <v>86</v>
      </c>
      <c r="B110" s="33">
        <f>B25</f>
        <v>32000</v>
      </c>
      <c r="C110" s="94"/>
      <c r="D110" s="94"/>
      <c r="E110" s="94"/>
      <c r="F110" s="94"/>
      <c r="G110" s="94"/>
    </row>
    <row r="111" spans="1:7" ht="15.6" x14ac:dyDescent="0.3">
      <c r="A111" s="35" t="s">
        <v>96</v>
      </c>
      <c r="B111" s="35">
        <f>B109+B110</f>
        <v>216577.4</v>
      </c>
      <c r="C111" s="94"/>
      <c r="D111" s="94"/>
      <c r="E111" s="94"/>
      <c r="F111" s="94"/>
      <c r="G111" s="94"/>
    </row>
    <row r="112" spans="1:7" ht="15.6" x14ac:dyDescent="0.3">
      <c r="A112" s="1"/>
      <c r="B112" s="1"/>
      <c r="C112" s="94"/>
      <c r="D112" s="94"/>
      <c r="E112" s="94"/>
      <c r="F112" s="94"/>
      <c r="G112" s="94"/>
    </row>
    <row r="113" spans="1:7" ht="15.6" x14ac:dyDescent="0.3">
      <c r="A113" s="32" t="s">
        <v>97</v>
      </c>
      <c r="B113" s="31"/>
      <c r="C113" s="94"/>
      <c r="D113" s="94"/>
      <c r="E113" s="94"/>
      <c r="F113" s="94"/>
      <c r="G113" s="94"/>
    </row>
    <row r="114" spans="1:7" ht="15.6" x14ac:dyDescent="0.3">
      <c r="A114" s="33" t="s">
        <v>86</v>
      </c>
      <c r="B114" s="34">
        <f>B25</f>
        <v>32000</v>
      </c>
      <c r="C114" s="94"/>
      <c r="D114" s="94"/>
      <c r="E114" s="94"/>
      <c r="F114" s="94"/>
      <c r="G114" s="94"/>
    </row>
    <row r="115" spans="1:7" ht="15.6" x14ac:dyDescent="0.3">
      <c r="A115" s="33" t="s">
        <v>103</v>
      </c>
      <c r="B115" s="33">
        <f>G38</f>
        <v>15460</v>
      </c>
      <c r="C115" s="94"/>
      <c r="D115" s="94"/>
      <c r="E115" s="94"/>
      <c r="F115" s="94"/>
      <c r="G115" s="94"/>
    </row>
    <row r="116" spans="1:7" ht="15.6" x14ac:dyDescent="0.3">
      <c r="A116" s="35" t="s">
        <v>98</v>
      </c>
      <c r="B116" s="36">
        <f>B114+B115</f>
        <v>47460</v>
      </c>
      <c r="C116" s="94"/>
      <c r="D116" s="94"/>
      <c r="E116" s="94"/>
      <c r="F116" s="94"/>
      <c r="G116" s="94"/>
    </row>
    <row r="117" spans="1:7" ht="15.6" x14ac:dyDescent="0.3">
      <c r="A117" s="95"/>
      <c r="B117" s="95"/>
      <c r="C117" s="94"/>
      <c r="D117" s="94"/>
      <c r="E117" s="94"/>
      <c r="F117" s="94"/>
      <c r="G117" s="94"/>
    </row>
    <row r="118" spans="1:7" ht="15.6" x14ac:dyDescent="0.3">
      <c r="A118" s="32" t="s">
        <v>99</v>
      </c>
      <c r="B118" s="31"/>
      <c r="C118" s="94"/>
      <c r="D118" s="94"/>
      <c r="E118" s="94"/>
      <c r="F118" s="94"/>
      <c r="G118" s="94"/>
    </row>
    <row r="119" spans="1:7" ht="15.6" x14ac:dyDescent="0.3">
      <c r="A119" s="33" t="s">
        <v>100</v>
      </c>
      <c r="B119" s="33">
        <f>D104</f>
        <v>223437.4</v>
      </c>
      <c r="C119" s="94"/>
      <c r="D119" s="94"/>
      <c r="E119" s="94"/>
      <c r="F119" s="94"/>
      <c r="G119" s="94"/>
    </row>
    <row r="120" spans="1:7" ht="15.6" x14ac:dyDescent="0.3">
      <c r="A120" s="33" t="s">
        <v>101</v>
      </c>
      <c r="B120" s="33">
        <f>F104</f>
        <v>27360</v>
      </c>
      <c r="C120" s="94"/>
      <c r="D120" s="94"/>
      <c r="E120" s="94"/>
      <c r="F120" s="94"/>
      <c r="G120" s="94"/>
    </row>
    <row r="121" spans="1:7" ht="15.6" x14ac:dyDescent="0.3">
      <c r="A121" s="35" t="s">
        <v>102</v>
      </c>
      <c r="B121" s="35">
        <f>B119+B120</f>
        <v>250797.4</v>
      </c>
      <c r="C121" s="94"/>
      <c r="D121" s="94"/>
      <c r="E121" s="94"/>
      <c r="F121" s="94"/>
      <c r="G121" s="94"/>
    </row>
    <row r="122" spans="1:7" ht="15.6" x14ac:dyDescent="0.3">
      <c r="A122" s="94"/>
      <c r="B122" s="94"/>
      <c r="C122" s="94"/>
      <c r="D122" s="94"/>
      <c r="E122" s="94"/>
      <c r="F122" s="94"/>
      <c r="G122" s="94"/>
    </row>
    <row r="123" spans="1:7" ht="15.6" x14ac:dyDescent="0.3">
      <c r="A123" s="94"/>
      <c r="B123" s="94"/>
      <c r="C123" s="94"/>
      <c r="D123" s="94"/>
      <c r="E123" s="94"/>
      <c r="F123" s="94"/>
      <c r="G123" s="94"/>
    </row>
    <row r="124" spans="1:7" ht="15.6" x14ac:dyDescent="0.3">
      <c r="A124" s="126" t="s">
        <v>118</v>
      </c>
      <c r="B124" s="126"/>
      <c r="C124" s="126"/>
      <c r="D124" s="94"/>
      <c r="E124" s="94"/>
      <c r="F124" s="94"/>
      <c r="G124" s="94"/>
    </row>
    <row r="125" spans="1:7" ht="15.6" x14ac:dyDescent="0.3">
      <c r="A125" s="37" t="s">
        <v>71</v>
      </c>
      <c r="B125" s="37" t="s">
        <v>57</v>
      </c>
      <c r="C125" s="37" t="s">
        <v>104</v>
      </c>
      <c r="D125" s="94"/>
      <c r="E125" s="94"/>
      <c r="F125" s="94"/>
      <c r="G125" s="94"/>
    </row>
    <row r="126" spans="1:7" ht="15.6" x14ac:dyDescent="0.3">
      <c r="A126" s="30" t="s">
        <v>105</v>
      </c>
      <c r="B126" s="28"/>
      <c r="C126" s="28"/>
      <c r="D126" s="94"/>
      <c r="E126" s="94"/>
      <c r="F126" s="94"/>
      <c r="G126" s="94"/>
    </row>
    <row r="127" spans="1:7" ht="15.6" x14ac:dyDescent="0.3">
      <c r="A127" s="22" t="s">
        <v>29</v>
      </c>
      <c r="B127" s="6">
        <f>D44</f>
        <v>6860</v>
      </c>
      <c r="C127" s="39" t="s">
        <v>108</v>
      </c>
      <c r="D127" s="94"/>
      <c r="E127" s="94"/>
      <c r="F127" s="94"/>
      <c r="G127" s="94"/>
    </row>
    <row r="128" spans="1:7" ht="15.6" x14ac:dyDescent="0.3">
      <c r="A128" s="22" t="s">
        <v>45</v>
      </c>
      <c r="B128" s="6">
        <f>B49</f>
        <v>1600</v>
      </c>
      <c r="C128" s="39" t="s">
        <v>109</v>
      </c>
      <c r="D128" s="94"/>
      <c r="E128" s="94"/>
      <c r="F128" s="94"/>
      <c r="G128" s="94"/>
    </row>
    <row r="129" spans="1:7" ht="15.6" x14ac:dyDescent="0.3">
      <c r="A129" s="22" t="s">
        <v>47</v>
      </c>
      <c r="B129" s="6">
        <f>B51</f>
        <v>4000</v>
      </c>
      <c r="C129" s="39" t="s">
        <v>110</v>
      </c>
      <c r="D129" s="94"/>
      <c r="E129" s="94"/>
      <c r="F129" s="94"/>
      <c r="G129" s="94"/>
    </row>
    <row r="130" spans="1:7" ht="15.6" x14ac:dyDescent="0.3">
      <c r="A130" s="26" t="s">
        <v>111</v>
      </c>
      <c r="B130" s="42"/>
      <c r="C130" s="26"/>
      <c r="D130" s="94"/>
      <c r="E130" s="94"/>
      <c r="F130" s="94"/>
      <c r="G130" s="94"/>
    </row>
    <row r="131" spans="1:7" ht="15.6" x14ac:dyDescent="0.3">
      <c r="A131" s="38" t="s">
        <v>112</v>
      </c>
      <c r="B131" s="40">
        <f>F102</f>
        <v>700</v>
      </c>
      <c r="C131" s="41" t="s">
        <v>113</v>
      </c>
      <c r="D131" s="94"/>
      <c r="E131" s="94"/>
      <c r="F131" s="94"/>
      <c r="G131" s="94"/>
    </row>
    <row r="132" spans="1:7" ht="15.6" x14ac:dyDescent="0.3">
      <c r="A132" s="38" t="s">
        <v>114</v>
      </c>
      <c r="B132" s="40">
        <f>F103</f>
        <v>460</v>
      </c>
      <c r="C132" s="41" t="s">
        <v>115</v>
      </c>
      <c r="D132" s="94"/>
      <c r="E132" s="94"/>
      <c r="F132" s="94"/>
      <c r="G132" s="94"/>
    </row>
    <row r="133" spans="1:7" ht="15.6" x14ac:dyDescent="0.3">
      <c r="A133" s="38" t="s">
        <v>58</v>
      </c>
      <c r="B133" s="40">
        <f>C62</f>
        <v>12600</v>
      </c>
      <c r="C133" s="41" t="s">
        <v>117</v>
      </c>
      <c r="D133" s="94"/>
      <c r="E133" s="94"/>
      <c r="F133" s="94"/>
      <c r="G133" s="94"/>
    </row>
    <row r="134" spans="1:7" ht="15.6" x14ac:dyDescent="0.3">
      <c r="A134" s="38" t="s">
        <v>64</v>
      </c>
      <c r="B134" s="40">
        <f>C66</f>
        <v>5000</v>
      </c>
      <c r="C134" s="41" t="s">
        <v>116</v>
      </c>
      <c r="D134" s="94"/>
      <c r="E134" s="94"/>
      <c r="F134" s="94"/>
      <c r="G134" s="94"/>
    </row>
    <row r="135" spans="1:7" ht="15.6" x14ac:dyDescent="0.3">
      <c r="A135" s="43" t="s">
        <v>72</v>
      </c>
      <c r="B135" s="18">
        <f>SUM(B127:B134)</f>
        <v>31220</v>
      </c>
      <c r="C135" s="18"/>
      <c r="D135" s="94"/>
      <c r="E135" s="94"/>
      <c r="F135" s="94"/>
      <c r="G135" s="94"/>
    </row>
  </sheetData>
  <mergeCells count="10">
    <mergeCell ref="A124:C124"/>
    <mergeCell ref="A56:C56"/>
    <mergeCell ref="A70:C70"/>
    <mergeCell ref="A79:G79"/>
    <mergeCell ref="A1:G1"/>
    <mergeCell ref="A17:B17"/>
    <mergeCell ref="A30:D30"/>
    <mergeCell ref="A33:D33"/>
    <mergeCell ref="A47:B47"/>
    <mergeCell ref="F34:G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E079-6120-4C0D-9257-8F7B62A5FC0F}">
  <dimension ref="A1:H94"/>
  <sheetViews>
    <sheetView zoomScale="80" zoomScaleNormal="80" workbookViewId="0">
      <selection activeCell="J13" sqref="J13"/>
    </sheetView>
  </sheetViews>
  <sheetFormatPr defaultRowHeight="14.4" x14ac:dyDescent="0.3"/>
  <cols>
    <col min="1" max="1" width="44.5546875" customWidth="1"/>
    <col min="2" max="2" width="25.88671875" customWidth="1"/>
    <col min="3" max="3" width="23.109375" customWidth="1"/>
    <col min="4" max="4" width="27.6640625" customWidth="1"/>
    <col min="5" max="5" width="19.6640625" customWidth="1"/>
    <col min="6" max="6" width="14" customWidth="1"/>
    <col min="8" max="8" width="11.88671875" customWidth="1"/>
  </cols>
  <sheetData>
    <row r="1" spans="1:8" ht="15.6" x14ac:dyDescent="0.3">
      <c r="A1" s="94"/>
      <c r="B1" s="94"/>
      <c r="C1" s="94"/>
      <c r="D1" s="94"/>
      <c r="E1" s="94"/>
      <c r="F1" s="94"/>
      <c r="G1" s="94"/>
      <c r="H1" s="94"/>
    </row>
    <row r="2" spans="1:8" ht="15.6" x14ac:dyDescent="0.3">
      <c r="A2" s="94"/>
      <c r="B2" s="94"/>
      <c r="C2" s="94"/>
      <c r="D2" s="94"/>
      <c r="E2" s="94"/>
      <c r="F2" s="94"/>
      <c r="G2" s="94"/>
      <c r="H2" s="94"/>
    </row>
    <row r="3" spans="1:8" ht="15.6" x14ac:dyDescent="0.3">
      <c r="A3" s="136" t="s">
        <v>119</v>
      </c>
      <c r="B3" s="136"/>
      <c r="C3" s="136"/>
      <c r="D3" s="136"/>
      <c r="E3" s="94"/>
      <c r="F3" s="94"/>
      <c r="G3" s="94"/>
      <c r="H3" s="94"/>
    </row>
    <row r="4" spans="1:8" ht="15.6" x14ac:dyDescent="0.3">
      <c r="A4" s="44" t="s">
        <v>120</v>
      </c>
      <c r="B4" s="44" t="s">
        <v>122</v>
      </c>
      <c r="C4" s="44" t="s">
        <v>123</v>
      </c>
      <c r="D4" s="44" t="s">
        <v>121</v>
      </c>
      <c r="E4" s="94"/>
      <c r="F4" s="94"/>
      <c r="G4" s="94"/>
      <c r="H4" s="94"/>
    </row>
    <row r="5" spans="1:8" ht="15.6" x14ac:dyDescent="0.3">
      <c r="A5" s="137" t="s">
        <v>0</v>
      </c>
      <c r="B5" s="137"/>
      <c r="C5" s="137"/>
      <c r="D5" s="137"/>
      <c r="E5" s="94"/>
      <c r="F5" s="94"/>
      <c r="G5" s="94"/>
      <c r="H5" s="94"/>
    </row>
    <row r="6" spans="1:8" ht="15.6" x14ac:dyDescent="0.3">
      <c r="A6" s="25" t="s">
        <v>8</v>
      </c>
      <c r="B6" s="45">
        <v>0.55000000000000004</v>
      </c>
      <c r="C6" s="45">
        <v>75</v>
      </c>
      <c r="D6" s="6">
        <f>C6*B6</f>
        <v>41.25</v>
      </c>
      <c r="E6" s="94"/>
      <c r="F6" s="94"/>
      <c r="G6" s="94"/>
      <c r="H6" s="94"/>
    </row>
    <row r="7" spans="1:8" ht="15.6" x14ac:dyDescent="0.3">
      <c r="A7" s="25" t="s">
        <v>9</v>
      </c>
      <c r="B7" s="45">
        <v>9.5000000000000001E-2</v>
      </c>
      <c r="C7" s="45">
        <v>75</v>
      </c>
      <c r="D7" s="6">
        <f t="shared" ref="D7:D16" si="0">C7*B7</f>
        <v>7.125</v>
      </c>
      <c r="E7" s="94"/>
      <c r="F7" s="94"/>
      <c r="G7" s="94"/>
      <c r="H7" s="94"/>
    </row>
    <row r="8" spans="1:8" ht="15.6" x14ac:dyDescent="0.3">
      <c r="A8" s="25" t="s">
        <v>10</v>
      </c>
      <c r="B8" s="45">
        <v>1200</v>
      </c>
      <c r="C8" s="45">
        <v>1.2E-2</v>
      </c>
      <c r="D8" s="6">
        <f t="shared" si="0"/>
        <v>14.4</v>
      </c>
      <c r="E8" s="94"/>
      <c r="F8" s="94"/>
      <c r="G8" s="94"/>
      <c r="H8" s="94"/>
    </row>
    <row r="9" spans="1:8" ht="15.6" x14ac:dyDescent="0.3">
      <c r="A9" s="25" t="s">
        <v>11</v>
      </c>
      <c r="B9" s="45">
        <v>300</v>
      </c>
      <c r="C9" s="45">
        <v>0.3</v>
      </c>
      <c r="D9" s="6">
        <f t="shared" si="0"/>
        <v>90</v>
      </c>
      <c r="E9" s="94"/>
      <c r="F9" s="94"/>
      <c r="G9" s="94"/>
      <c r="H9" s="94"/>
    </row>
    <row r="10" spans="1:8" ht="15.6" x14ac:dyDescent="0.3">
      <c r="A10" s="25" t="s">
        <v>12</v>
      </c>
      <c r="B10" s="45">
        <v>150</v>
      </c>
      <c r="C10" s="45">
        <v>0.48</v>
      </c>
      <c r="D10" s="6">
        <f t="shared" si="0"/>
        <v>72</v>
      </c>
      <c r="E10" s="94"/>
      <c r="F10" s="94"/>
      <c r="G10" s="94"/>
      <c r="H10" s="94"/>
    </row>
    <row r="11" spans="1:8" ht="15.6" x14ac:dyDescent="0.3">
      <c r="A11" s="25" t="s">
        <v>13</v>
      </c>
      <c r="B11" s="45">
        <v>4</v>
      </c>
      <c r="C11" s="45">
        <v>1</v>
      </c>
      <c r="D11" s="6">
        <f t="shared" si="0"/>
        <v>4</v>
      </c>
      <c r="E11" s="94"/>
      <c r="F11" s="94"/>
      <c r="G11" s="94"/>
      <c r="H11" s="94"/>
    </row>
    <row r="12" spans="1:8" ht="15.6" x14ac:dyDescent="0.3">
      <c r="A12" s="25" t="s">
        <v>14</v>
      </c>
      <c r="B12" s="107">
        <v>103</v>
      </c>
      <c r="C12" s="45">
        <v>1</v>
      </c>
      <c r="D12" s="6">
        <f t="shared" si="0"/>
        <v>103</v>
      </c>
      <c r="E12" s="94"/>
      <c r="F12" s="94"/>
      <c r="G12" s="94"/>
      <c r="H12" s="94"/>
    </row>
    <row r="13" spans="1:8" ht="15.6" x14ac:dyDescent="0.3">
      <c r="A13" s="25" t="s">
        <v>15</v>
      </c>
      <c r="B13" s="45">
        <v>1500</v>
      </c>
      <c r="C13" s="107">
        <v>0.13300000000000001</v>
      </c>
      <c r="D13" s="6">
        <f t="shared" si="0"/>
        <v>199.5</v>
      </c>
      <c r="E13" s="94"/>
      <c r="F13" s="94"/>
      <c r="G13" s="126" t="s">
        <v>125</v>
      </c>
      <c r="H13" s="126"/>
    </row>
    <row r="14" spans="1:8" ht="15.6" x14ac:dyDescent="0.3">
      <c r="A14" s="25" t="s">
        <v>16</v>
      </c>
      <c r="B14" s="45">
        <v>1</v>
      </c>
      <c r="C14" s="45">
        <v>0.625</v>
      </c>
      <c r="D14" s="6">
        <f t="shared" si="0"/>
        <v>0.625</v>
      </c>
      <c r="E14" s="94"/>
      <c r="F14" s="94"/>
      <c r="G14" s="138" t="s">
        <v>220</v>
      </c>
      <c r="H14" s="138"/>
    </row>
    <row r="15" spans="1:8" ht="15.6" x14ac:dyDescent="0.3">
      <c r="A15" s="25" t="s">
        <v>17</v>
      </c>
      <c r="B15" s="45">
        <v>1</v>
      </c>
      <c r="C15" s="45">
        <v>150</v>
      </c>
      <c r="D15" s="6">
        <f t="shared" si="0"/>
        <v>150</v>
      </c>
      <c r="E15" s="94"/>
      <c r="F15" s="94"/>
      <c r="G15" s="94"/>
      <c r="H15" s="94"/>
    </row>
    <row r="16" spans="1:8" ht="15.6" x14ac:dyDescent="0.3">
      <c r="A16" s="6" t="s">
        <v>40</v>
      </c>
      <c r="B16" s="6">
        <v>1</v>
      </c>
      <c r="C16" s="6">
        <v>12</v>
      </c>
      <c r="D16" s="6">
        <f t="shared" si="0"/>
        <v>12</v>
      </c>
      <c r="E16" s="94"/>
      <c r="F16" s="94"/>
      <c r="G16" s="94"/>
      <c r="H16" s="94"/>
    </row>
    <row r="17" spans="1:8" ht="15.6" x14ac:dyDescent="0.3">
      <c r="A17" s="124" t="s">
        <v>19</v>
      </c>
      <c r="B17" s="5"/>
      <c r="C17" s="5"/>
      <c r="D17" s="5">
        <v>120</v>
      </c>
      <c r="E17" s="94"/>
      <c r="F17" s="94"/>
      <c r="G17" s="94"/>
      <c r="H17" s="94"/>
    </row>
    <row r="18" spans="1:8" ht="15.6" x14ac:dyDescent="0.3">
      <c r="A18" s="125" t="s">
        <v>124</v>
      </c>
      <c r="B18" s="5">
        <v>3</v>
      </c>
      <c r="C18" s="5">
        <v>19.324999999999999</v>
      </c>
      <c r="D18" s="5">
        <f>B18*C18</f>
        <v>57.974999999999994</v>
      </c>
      <c r="E18" s="94"/>
      <c r="F18" s="94"/>
      <c r="G18" s="94"/>
      <c r="H18" s="94"/>
    </row>
    <row r="19" spans="1:8" ht="15.6" x14ac:dyDescent="0.3">
      <c r="A19" s="18" t="s">
        <v>126</v>
      </c>
      <c r="B19" s="18"/>
      <c r="C19" s="18"/>
      <c r="D19" s="18">
        <f>SUM(D6:D18)</f>
        <v>871.875</v>
      </c>
      <c r="E19" s="94"/>
      <c r="F19" s="94"/>
      <c r="G19" s="94"/>
      <c r="H19" s="94"/>
    </row>
    <row r="20" spans="1:8" ht="15.6" x14ac:dyDescent="0.3">
      <c r="A20" s="94"/>
      <c r="B20" s="94"/>
      <c r="C20" s="94"/>
      <c r="D20" s="94"/>
      <c r="E20" s="94"/>
      <c r="F20" s="94"/>
      <c r="G20" s="94"/>
      <c r="H20" s="94"/>
    </row>
    <row r="21" spans="1:8" ht="15.6" x14ac:dyDescent="0.3">
      <c r="A21" s="94"/>
      <c r="B21" s="94"/>
      <c r="C21" s="94"/>
      <c r="D21" s="94"/>
      <c r="E21" s="94"/>
      <c r="F21" s="94"/>
      <c r="G21" s="94"/>
      <c r="H21" s="94"/>
    </row>
    <row r="22" spans="1:8" ht="15.6" x14ac:dyDescent="0.3">
      <c r="A22" s="94"/>
      <c r="B22" s="94"/>
      <c r="C22" s="94"/>
      <c r="D22" s="94"/>
      <c r="E22" s="94"/>
      <c r="F22" s="94"/>
      <c r="G22" s="94"/>
      <c r="H22" s="94"/>
    </row>
    <row r="23" spans="1:8" ht="15.6" x14ac:dyDescent="0.3">
      <c r="A23" s="128" t="s">
        <v>127</v>
      </c>
      <c r="B23" s="128"/>
      <c r="C23" s="128"/>
      <c r="D23" s="128"/>
      <c r="E23" s="128"/>
      <c r="F23" s="94"/>
      <c r="G23" s="94"/>
      <c r="H23" s="94"/>
    </row>
    <row r="24" spans="1:8" ht="15.6" x14ac:dyDescent="0.3">
      <c r="A24" s="46" t="s">
        <v>128</v>
      </c>
      <c r="B24" s="46" t="s">
        <v>129</v>
      </c>
      <c r="C24" s="46" t="s">
        <v>130</v>
      </c>
      <c r="D24" s="46" t="s">
        <v>131</v>
      </c>
      <c r="E24" s="46" t="s">
        <v>132</v>
      </c>
      <c r="F24" s="94"/>
      <c r="G24" s="94"/>
      <c r="H24" s="94"/>
    </row>
    <row r="25" spans="1:8" ht="15.6" x14ac:dyDescent="0.3">
      <c r="A25" s="134" t="s">
        <v>29</v>
      </c>
      <c r="B25" s="134"/>
      <c r="C25" s="134"/>
      <c r="D25" s="134"/>
      <c r="E25" s="134"/>
      <c r="F25" s="94"/>
      <c r="G25" s="94"/>
      <c r="H25" s="94"/>
    </row>
    <row r="26" spans="1:8" ht="15.6" x14ac:dyDescent="0.3">
      <c r="A26" s="47" t="s">
        <v>31</v>
      </c>
      <c r="B26" s="47" t="s">
        <v>133</v>
      </c>
      <c r="C26" s="7">
        <v>1500</v>
      </c>
      <c r="D26" s="47">
        <v>1</v>
      </c>
      <c r="E26" s="7">
        <f>C26/D26</f>
        <v>1500</v>
      </c>
      <c r="F26" s="94"/>
      <c r="G26" s="94"/>
      <c r="H26" s="94"/>
    </row>
    <row r="27" spans="1:8" ht="15.6" x14ac:dyDescent="0.3">
      <c r="A27" s="47" t="s">
        <v>32</v>
      </c>
      <c r="B27" s="47" t="s">
        <v>134</v>
      </c>
      <c r="C27" s="7">
        <v>60</v>
      </c>
      <c r="D27" s="47">
        <v>1</v>
      </c>
      <c r="E27" s="7">
        <f t="shared" ref="E27:E34" si="1">C27/D27</f>
        <v>60</v>
      </c>
      <c r="F27" s="94"/>
      <c r="G27" s="94"/>
      <c r="H27" s="94"/>
    </row>
    <row r="28" spans="1:8" ht="15.6" x14ac:dyDescent="0.3">
      <c r="A28" s="47" t="s">
        <v>33</v>
      </c>
      <c r="B28" s="47" t="s">
        <v>135</v>
      </c>
      <c r="C28" s="7">
        <v>500</v>
      </c>
      <c r="D28" s="47">
        <v>1</v>
      </c>
      <c r="E28" s="7">
        <f t="shared" si="1"/>
        <v>500</v>
      </c>
      <c r="F28" s="94"/>
      <c r="G28" s="94"/>
      <c r="H28" s="94"/>
    </row>
    <row r="29" spans="1:8" ht="15.6" x14ac:dyDescent="0.3">
      <c r="A29" s="47" t="s">
        <v>34</v>
      </c>
      <c r="B29" s="47" t="s">
        <v>136</v>
      </c>
      <c r="C29" s="7">
        <v>2800</v>
      </c>
      <c r="D29" s="47">
        <v>14</v>
      </c>
      <c r="E29" s="7">
        <f t="shared" si="1"/>
        <v>200</v>
      </c>
      <c r="F29" s="94"/>
      <c r="G29" s="94"/>
      <c r="H29" s="94"/>
    </row>
    <row r="30" spans="1:8" ht="15.6" x14ac:dyDescent="0.3">
      <c r="A30" s="47" t="s">
        <v>35</v>
      </c>
      <c r="B30" s="47" t="s">
        <v>137</v>
      </c>
      <c r="C30" s="7">
        <v>300</v>
      </c>
      <c r="D30" s="47">
        <v>2</v>
      </c>
      <c r="E30" s="7">
        <f t="shared" si="1"/>
        <v>150</v>
      </c>
      <c r="F30" s="94"/>
      <c r="G30" s="94"/>
      <c r="H30" s="94"/>
    </row>
    <row r="31" spans="1:8" ht="15.6" x14ac:dyDescent="0.3">
      <c r="A31" s="47" t="s">
        <v>36</v>
      </c>
      <c r="B31" s="47" t="s">
        <v>138</v>
      </c>
      <c r="C31" s="7">
        <v>720</v>
      </c>
      <c r="D31" s="47">
        <v>3</v>
      </c>
      <c r="E31" s="7">
        <f t="shared" si="1"/>
        <v>240</v>
      </c>
      <c r="F31" s="94"/>
      <c r="G31" s="94"/>
      <c r="H31" s="94"/>
    </row>
    <row r="32" spans="1:8" ht="15.6" x14ac:dyDescent="0.3">
      <c r="A32" s="47" t="s">
        <v>37</v>
      </c>
      <c r="B32" s="47" t="s">
        <v>139</v>
      </c>
      <c r="C32" s="7">
        <v>440</v>
      </c>
      <c r="D32" s="47">
        <v>4</v>
      </c>
      <c r="E32" s="7">
        <f t="shared" si="1"/>
        <v>110</v>
      </c>
      <c r="F32" s="94"/>
      <c r="G32" s="94"/>
      <c r="H32" s="94"/>
    </row>
    <row r="33" spans="1:8" ht="15.6" x14ac:dyDescent="0.3">
      <c r="A33" s="47" t="s">
        <v>38</v>
      </c>
      <c r="B33" s="47" t="s">
        <v>140</v>
      </c>
      <c r="C33" s="7">
        <v>320</v>
      </c>
      <c r="D33" s="47">
        <v>4</v>
      </c>
      <c r="E33" s="7">
        <f t="shared" si="1"/>
        <v>80</v>
      </c>
      <c r="F33" s="94"/>
      <c r="G33" s="94"/>
      <c r="H33" s="94"/>
    </row>
    <row r="34" spans="1:8" ht="15.6" x14ac:dyDescent="0.3">
      <c r="A34" s="47" t="s">
        <v>39</v>
      </c>
      <c r="B34" s="47" t="s">
        <v>141</v>
      </c>
      <c r="C34" s="7">
        <v>220</v>
      </c>
      <c r="D34" s="7">
        <v>1</v>
      </c>
      <c r="E34" s="7">
        <f t="shared" si="1"/>
        <v>220</v>
      </c>
      <c r="F34" s="94"/>
      <c r="G34" s="94"/>
      <c r="H34" s="94"/>
    </row>
    <row r="35" spans="1:8" ht="15.6" x14ac:dyDescent="0.3">
      <c r="A35" s="134" t="s">
        <v>142</v>
      </c>
      <c r="B35" s="134"/>
      <c r="C35" s="134"/>
      <c r="D35" s="134"/>
      <c r="E35" s="134"/>
      <c r="F35" s="94"/>
      <c r="G35" s="94"/>
      <c r="H35" s="94"/>
    </row>
    <row r="36" spans="1:8" ht="15.6" x14ac:dyDescent="0.3">
      <c r="A36" s="47" t="s">
        <v>107</v>
      </c>
      <c r="B36" s="47" t="s">
        <v>144</v>
      </c>
      <c r="C36" s="47">
        <v>1600</v>
      </c>
      <c r="D36" s="47">
        <v>800</v>
      </c>
      <c r="E36" s="47">
        <f t="shared" ref="E36:E38" si="2">C36/D36</f>
        <v>2</v>
      </c>
      <c r="F36" s="94"/>
      <c r="G36" s="94"/>
      <c r="H36" s="94"/>
    </row>
    <row r="37" spans="1:8" ht="15.6" x14ac:dyDescent="0.3">
      <c r="A37" s="47" t="s">
        <v>143</v>
      </c>
      <c r="B37" s="47" t="s">
        <v>145</v>
      </c>
      <c r="C37" s="47">
        <v>1000</v>
      </c>
      <c r="D37" s="47">
        <v>800</v>
      </c>
      <c r="E37" s="47">
        <f t="shared" si="2"/>
        <v>1.25</v>
      </c>
      <c r="F37" s="94"/>
      <c r="G37" s="94"/>
      <c r="H37" s="94"/>
    </row>
    <row r="38" spans="1:8" ht="15.6" x14ac:dyDescent="0.3">
      <c r="A38" s="47" t="s">
        <v>106</v>
      </c>
      <c r="B38" s="47" t="s">
        <v>146</v>
      </c>
      <c r="C38" s="47">
        <v>4000</v>
      </c>
      <c r="D38" s="47">
        <v>500</v>
      </c>
      <c r="E38" s="47">
        <f t="shared" si="2"/>
        <v>8</v>
      </c>
      <c r="F38" s="94"/>
      <c r="G38" s="94"/>
      <c r="H38" s="94"/>
    </row>
    <row r="39" spans="1:8" ht="15.6" x14ac:dyDescent="0.3">
      <c r="A39" s="49" t="s">
        <v>88</v>
      </c>
      <c r="B39" s="48" t="s">
        <v>147</v>
      </c>
      <c r="C39" s="48">
        <v>2000</v>
      </c>
      <c r="D39" s="48">
        <v>800</v>
      </c>
      <c r="E39" s="48">
        <f>C39/D39</f>
        <v>2.5</v>
      </c>
      <c r="F39" s="94"/>
      <c r="G39" s="94"/>
      <c r="H39" s="94"/>
    </row>
    <row r="40" spans="1:8" ht="15.6" x14ac:dyDescent="0.3">
      <c r="A40" s="94"/>
      <c r="B40" s="94"/>
      <c r="C40" s="94"/>
      <c r="D40" s="94"/>
      <c r="E40" s="94"/>
      <c r="F40" s="94"/>
      <c r="G40" s="94"/>
      <c r="H40" s="94"/>
    </row>
    <row r="41" spans="1:8" ht="15.6" x14ac:dyDescent="0.3">
      <c r="A41" s="94"/>
      <c r="B41" s="94"/>
      <c r="C41" s="94"/>
      <c r="D41" s="94"/>
      <c r="E41" s="94"/>
      <c r="F41" s="94"/>
      <c r="G41" s="94"/>
      <c r="H41" s="94"/>
    </row>
    <row r="42" spans="1:8" ht="15.6" x14ac:dyDescent="0.3">
      <c r="A42" s="94"/>
      <c r="B42" s="94"/>
      <c r="C42" s="94"/>
      <c r="D42" s="94"/>
      <c r="E42" s="94"/>
      <c r="F42" s="94"/>
      <c r="G42" s="94"/>
      <c r="H42" s="94"/>
    </row>
    <row r="43" spans="1:8" ht="15.6" x14ac:dyDescent="0.3">
      <c r="A43" s="50" t="s">
        <v>128</v>
      </c>
      <c r="B43" s="50" t="s">
        <v>132</v>
      </c>
      <c r="C43" s="50" t="s">
        <v>148</v>
      </c>
      <c r="D43" s="50" t="s">
        <v>18</v>
      </c>
      <c r="E43" s="94"/>
      <c r="F43" s="94"/>
      <c r="G43" s="94"/>
      <c r="H43" s="94"/>
    </row>
    <row r="44" spans="1:8" ht="15.6" x14ac:dyDescent="0.3">
      <c r="A44" s="49" t="s">
        <v>149</v>
      </c>
      <c r="B44" s="106"/>
      <c r="C44" s="106"/>
      <c r="D44" s="17">
        <v>184577.4</v>
      </c>
      <c r="E44" s="94"/>
      <c r="F44" s="94"/>
      <c r="G44" s="94"/>
      <c r="H44" s="94"/>
    </row>
    <row r="45" spans="1:8" ht="15.6" x14ac:dyDescent="0.3">
      <c r="A45" s="106" t="s">
        <v>19</v>
      </c>
      <c r="B45" s="106"/>
      <c r="C45" s="106"/>
      <c r="D45" s="82">
        <v>32000</v>
      </c>
      <c r="E45" s="94"/>
      <c r="F45" s="94"/>
      <c r="G45" s="94"/>
      <c r="H45" s="94"/>
    </row>
    <row r="46" spans="1:8" ht="15.6" x14ac:dyDescent="0.3">
      <c r="A46" s="106" t="s">
        <v>88</v>
      </c>
      <c r="B46" s="106"/>
      <c r="C46" s="106"/>
      <c r="D46" s="82"/>
      <c r="E46" s="94"/>
      <c r="F46" s="94"/>
      <c r="G46" s="94"/>
      <c r="H46" s="94"/>
    </row>
    <row r="47" spans="1:8" ht="15.6" x14ac:dyDescent="0.3">
      <c r="A47" s="47" t="s">
        <v>31</v>
      </c>
      <c r="B47" s="7">
        <f>E26</f>
        <v>1500</v>
      </c>
      <c r="C47" s="47">
        <f>D26</f>
        <v>1</v>
      </c>
      <c r="D47" s="7">
        <f>B47*C47</f>
        <v>1500</v>
      </c>
      <c r="E47" s="94"/>
      <c r="F47" s="94"/>
      <c r="G47" s="94"/>
      <c r="H47" s="94"/>
    </row>
    <row r="48" spans="1:8" ht="15.6" x14ac:dyDescent="0.3">
      <c r="A48" s="47" t="s">
        <v>32</v>
      </c>
      <c r="B48" s="7">
        <f t="shared" ref="B48:B55" si="3">E27</f>
        <v>60</v>
      </c>
      <c r="C48" s="47">
        <f t="shared" ref="C48:C55" si="4">D27</f>
        <v>1</v>
      </c>
      <c r="D48" s="7">
        <f t="shared" ref="D48:D55" si="5">B48*C48</f>
        <v>60</v>
      </c>
      <c r="E48" s="94"/>
      <c r="F48" s="94"/>
      <c r="G48" s="94"/>
      <c r="H48" s="94"/>
    </row>
    <row r="49" spans="1:8" ht="15.6" x14ac:dyDescent="0.3">
      <c r="A49" s="47" t="s">
        <v>33</v>
      </c>
      <c r="B49" s="7">
        <f t="shared" si="3"/>
        <v>500</v>
      </c>
      <c r="C49" s="47">
        <f t="shared" si="4"/>
        <v>1</v>
      </c>
      <c r="D49" s="7">
        <f t="shared" si="5"/>
        <v>500</v>
      </c>
      <c r="E49" s="94"/>
      <c r="F49" s="94"/>
      <c r="G49" s="94"/>
      <c r="H49" s="94"/>
    </row>
    <row r="50" spans="1:8" ht="15.6" x14ac:dyDescent="0.3">
      <c r="A50" s="47" t="s">
        <v>34</v>
      </c>
      <c r="B50" s="7">
        <f t="shared" si="3"/>
        <v>200</v>
      </c>
      <c r="C50" s="47">
        <f t="shared" si="4"/>
        <v>14</v>
      </c>
      <c r="D50" s="7">
        <f t="shared" si="5"/>
        <v>2800</v>
      </c>
      <c r="E50" s="94"/>
      <c r="F50" s="94"/>
      <c r="G50" s="94"/>
      <c r="H50" s="94"/>
    </row>
    <row r="51" spans="1:8" ht="15.6" x14ac:dyDescent="0.3">
      <c r="A51" s="47" t="s">
        <v>35</v>
      </c>
      <c r="B51" s="7">
        <f t="shared" si="3"/>
        <v>150</v>
      </c>
      <c r="C51" s="47">
        <f t="shared" si="4"/>
        <v>2</v>
      </c>
      <c r="D51" s="7">
        <f t="shared" si="5"/>
        <v>300</v>
      </c>
      <c r="E51" s="94"/>
      <c r="F51" s="94"/>
      <c r="G51" s="94"/>
      <c r="H51" s="94"/>
    </row>
    <row r="52" spans="1:8" ht="15.6" x14ac:dyDescent="0.3">
      <c r="A52" s="47" t="s">
        <v>36</v>
      </c>
      <c r="B52" s="7">
        <f t="shared" si="3"/>
        <v>240</v>
      </c>
      <c r="C52" s="47">
        <f t="shared" si="4"/>
        <v>3</v>
      </c>
      <c r="D52" s="7">
        <f t="shared" si="5"/>
        <v>720</v>
      </c>
      <c r="E52" s="94"/>
      <c r="F52" s="94"/>
      <c r="G52" s="94"/>
      <c r="H52" s="94"/>
    </row>
    <row r="53" spans="1:8" ht="15.6" x14ac:dyDescent="0.3">
      <c r="A53" s="47" t="s">
        <v>37</v>
      </c>
      <c r="B53" s="7">
        <f t="shared" si="3"/>
        <v>110</v>
      </c>
      <c r="C53" s="47">
        <f t="shared" si="4"/>
        <v>4</v>
      </c>
      <c r="D53" s="7">
        <f t="shared" si="5"/>
        <v>440</v>
      </c>
      <c r="E53" s="94"/>
      <c r="F53" s="94"/>
      <c r="G53" s="94"/>
      <c r="H53" s="94"/>
    </row>
    <row r="54" spans="1:8" ht="15.6" x14ac:dyDescent="0.3">
      <c r="A54" s="47" t="s">
        <v>38</v>
      </c>
      <c r="B54" s="7">
        <f t="shared" si="3"/>
        <v>80</v>
      </c>
      <c r="C54" s="47">
        <f t="shared" si="4"/>
        <v>4</v>
      </c>
      <c r="D54" s="7">
        <f t="shared" si="5"/>
        <v>320</v>
      </c>
      <c r="E54" s="94"/>
      <c r="F54" s="94"/>
      <c r="G54" s="94"/>
      <c r="H54" s="94"/>
    </row>
    <row r="55" spans="1:8" ht="15.6" x14ac:dyDescent="0.3">
      <c r="A55" s="47" t="s">
        <v>39</v>
      </c>
      <c r="B55" s="7">
        <f t="shared" si="3"/>
        <v>220</v>
      </c>
      <c r="C55" s="47">
        <f t="shared" si="4"/>
        <v>1</v>
      </c>
      <c r="D55" s="7">
        <f t="shared" si="5"/>
        <v>220</v>
      </c>
      <c r="E55" s="94"/>
      <c r="F55" s="94"/>
      <c r="G55" s="94"/>
      <c r="H55" s="94"/>
    </row>
    <row r="56" spans="1:8" ht="15.6" x14ac:dyDescent="0.3">
      <c r="A56" s="134" t="s">
        <v>142</v>
      </c>
      <c r="B56" s="134"/>
      <c r="C56" s="134"/>
      <c r="D56" s="134"/>
      <c r="E56" s="94"/>
      <c r="F56" s="94"/>
      <c r="G56" s="94"/>
      <c r="H56" s="94"/>
    </row>
    <row r="57" spans="1:8" ht="15.6" x14ac:dyDescent="0.3">
      <c r="A57" s="47" t="s">
        <v>107</v>
      </c>
      <c r="B57" s="7">
        <f>E36</f>
        <v>2</v>
      </c>
      <c r="C57" s="7">
        <f>D36</f>
        <v>800</v>
      </c>
      <c r="D57" s="7">
        <f>B57*C57</f>
        <v>1600</v>
      </c>
      <c r="E57" s="94"/>
      <c r="F57" s="94"/>
      <c r="G57" s="94"/>
      <c r="H57" s="94"/>
    </row>
    <row r="58" spans="1:8" ht="15.6" x14ac:dyDescent="0.3">
      <c r="A58" s="47" t="s">
        <v>143</v>
      </c>
      <c r="B58" s="7">
        <f t="shared" ref="B58:B59" si="6">E37</f>
        <v>1.25</v>
      </c>
      <c r="C58" s="7">
        <f t="shared" ref="C58:C59" si="7">D37</f>
        <v>800</v>
      </c>
      <c r="D58" s="7">
        <f t="shared" ref="D58:D59" si="8">B58*C58</f>
        <v>1000</v>
      </c>
      <c r="E58" s="94"/>
      <c r="F58" s="94"/>
      <c r="G58" s="94"/>
      <c r="H58" s="94"/>
    </row>
    <row r="59" spans="1:8" ht="15.6" x14ac:dyDescent="0.3">
      <c r="A59" s="47" t="s">
        <v>106</v>
      </c>
      <c r="B59" s="7">
        <f t="shared" si="6"/>
        <v>8</v>
      </c>
      <c r="C59" s="7">
        <f t="shared" si="7"/>
        <v>500</v>
      </c>
      <c r="D59" s="7">
        <f t="shared" si="8"/>
        <v>4000</v>
      </c>
      <c r="E59" s="94"/>
      <c r="F59" s="94"/>
      <c r="G59" s="94"/>
      <c r="H59" s="94"/>
    </row>
    <row r="60" spans="1:8" ht="15.6" x14ac:dyDescent="0.3">
      <c r="A60" s="19" t="s">
        <v>88</v>
      </c>
      <c r="B60" s="17">
        <f>E39</f>
        <v>2.5</v>
      </c>
      <c r="C60" s="17">
        <f>D39</f>
        <v>800</v>
      </c>
      <c r="D60" s="17">
        <f>C60*B60</f>
        <v>2000</v>
      </c>
      <c r="E60" s="94"/>
      <c r="F60" s="94"/>
      <c r="G60" s="94"/>
      <c r="H60" s="94"/>
    </row>
    <row r="61" spans="1:8" ht="15.6" x14ac:dyDescent="0.3">
      <c r="A61" s="24" t="s">
        <v>150</v>
      </c>
      <c r="B61" s="24"/>
      <c r="C61" s="24"/>
      <c r="D61" s="6">
        <f>SUM(D44:D60)</f>
        <v>232037.4</v>
      </c>
      <c r="E61" s="94"/>
      <c r="F61" s="94"/>
      <c r="G61" s="94"/>
      <c r="H61" s="94"/>
    </row>
    <row r="62" spans="1:8" ht="15.6" x14ac:dyDescent="0.3">
      <c r="A62" s="51" t="s">
        <v>151</v>
      </c>
      <c r="B62" s="51"/>
      <c r="C62" s="51"/>
      <c r="D62" s="52">
        <v>266</v>
      </c>
      <c r="E62" s="94"/>
      <c r="F62" s="94"/>
      <c r="G62" s="94"/>
      <c r="H62" s="94"/>
    </row>
    <row r="63" spans="1:8" ht="15.6" x14ac:dyDescent="0.3">
      <c r="A63" s="53" t="s">
        <v>5</v>
      </c>
      <c r="B63" s="6"/>
      <c r="C63" s="6"/>
      <c r="D63" s="6">
        <f>D61/D62</f>
        <v>872.32105263157894</v>
      </c>
      <c r="E63" s="94"/>
      <c r="F63" s="94"/>
      <c r="G63" s="94"/>
      <c r="H63" s="94"/>
    </row>
    <row r="64" spans="1:8" ht="15.6" x14ac:dyDescent="0.3">
      <c r="A64" s="94"/>
      <c r="B64" s="94"/>
      <c r="C64" s="94"/>
      <c r="D64" s="94"/>
      <c r="E64" s="94"/>
      <c r="F64" s="94"/>
      <c r="G64" s="94"/>
      <c r="H64" s="94"/>
    </row>
    <row r="65" spans="1:8" ht="15.6" x14ac:dyDescent="0.3">
      <c r="A65" s="94"/>
      <c r="B65" s="94"/>
      <c r="C65" s="94"/>
      <c r="D65" s="94"/>
      <c r="E65" s="94"/>
      <c r="F65" s="94"/>
      <c r="G65" s="94"/>
      <c r="H65" s="94"/>
    </row>
    <row r="66" spans="1:8" ht="15.6" x14ac:dyDescent="0.3">
      <c r="A66" s="135" t="s">
        <v>152</v>
      </c>
      <c r="B66" s="135"/>
      <c r="C66" s="135"/>
      <c r="D66" s="135"/>
      <c r="E66" s="135"/>
      <c r="F66" s="94"/>
      <c r="G66" s="94"/>
      <c r="H66" s="94"/>
    </row>
    <row r="67" spans="1:8" ht="15.6" x14ac:dyDescent="0.3">
      <c r="A67" s="56" t="s">
        <v>71</v>
      </c>
      <c r="B67" s="2" t="s">
        <v>153</v>
      </c>
      <c r="C67" s="2"/>
      <c r="D67" s="2" t="s">
        <v>154</v>
      </c>
      <c r="E67" s="2"/>
      <c r="F67" s="94"/>
      <c r="G67" s="94"/>
      <c r="H67" s="94"/>
    </row>
    <row r="68" spans="1:8" ht="15.6" x14ac:dyDescent="0.3">
      <c r="A68" s="57" t="s">
        <v>155</v>
      </c>
      <c r="B68" s="2"/>
      <c r="C68" s="2">
        <f>235*1040</f>
        <v>244400</v>
      </c>
      <c r="D68" s="2"/>
      <c r="E68" s="2">
        <f>235*1040</f>
        <v>244400</v>
      </c>
      <c r="F68" s="94"/>
      <c r="G68" s="94"/>
      <c r="H68" s="94"/>
    </row>
    <row r="69" spans="1:8" ht="13.5" customHeight="1" x14ac:dyDescent="0.3">
      <c r="A69" s="55" t="s">
        <v>156</v>
      </c>
      <c r="B69" s="3"/>
      <c r="C69" s="3">
        <f>D19*235</f>
        <v>204890.625</v>
      </c>
      <c r="D69" s="3"/>
      <c r="E69" s="3">
        <f>D63*235</f>
        <v>204995.44736842104</v>
      </c>
      <c r="F69" s="94"/>
      <c r="G69" s="94"/>
      <c r="H69" s="94"/>
    </row>
    <row r="70" spans="1:8" ht="13.5" customHeight="1" x14ac:dyDescent="0.3">
      <c r="A70" s="54" t="s">
        <v>158</v>
      </c>
      <c r="B70" s="18"/>
      <c r="C70" s="18">
        <f>C68-C69</f>
        <v>39509.375</v>
      </c>
      <c r="D70" s="18"/>
      <c r="E70" s="18">
        <f>E68-E69</f>
        <v>39404.552631578961</v>
      </c>
      <c r="F70" s="94"/>
      <c r="G70" s="94"/>
      <c r="H70" s="94"/>
    </row>
    <row r="71" spans="1:8" ht="15.6" x14ac:dyDescent="0.3">
      <c r="A71" s="101" t="s">
        <v>59</v>
      </c>
      <c r="B71" s="45">
        <v>4000</v>
      </c>
      <c r="C71" s="6"/>
      <c r="D71" s="45">
        <v>4000</v>
      </c>
      <c r="E71" s="6"/>
      <c r="F71" s="94"/>
      <c r="G71" s="94"/>
      <c r="H71" s="94"/>
    </row>
    <row r="72" spans="1:8" ht="15.6" x14ac:dyDescent="0.3">
      <c r="A72" s="101" t="s">
        <v>60</v>
      </c>
      <c r="B72" s="45">
        <v>2500</v>
      </c>
      <c r="C72" s="6"/>
      <c r="D72" s="45">
        <v>2500</v>
      </c>
      <c r="E72" s="6"/>
      <c r="F72" s="94"/>
      <c r="G72" s="94"/>
      <c r="H72" s="94"/>
    </row>
    <row r="73" spans="1:8" ht="15.6" x14ac:dyDescent="0.3">
      <c r="A73" s="101" t="s">
        <v>61</v>
      </c>
      <c r="B73" s="45">
        <v>3600</v>
      </c>
      <c r="C73" s="6"/>
      <c r="D73" s="45">
        <v>3600</v>
      </c>
      <c r="E73" s="6"/>
      <c r="F73" s="94"/>
      <c r="G73" s="94"/>
      <c r="H73" s="94"/>
    </row>
    <row r="74" spans="1:8" ht="15.6" x14ac:dyDescent="0.3">
      <c r="A74" s="101" t="s">
        <v>62</v>
      </c>
      <c r="B74" s="45">
        <v>2500</v>
      </c>
      <c r="C74" s="6"/>
      <c r="D74" s="45">
        <v>2500</v>
      </c>
      <c r="E74" s="6"/>
      <c r="F74" s="94"/>
      <c r="G74" s="94"/>
      <c r="H74" s="94"/>
    </row>
    <row r="75" spans="1:8" ht="15.6" x14ac:dyDescent="0.3">
      <c r="A75" s="101" t="s">
        <v>65</v>
      </c>
      <c r="B75" s="45">
        <v>1500</v>
      </c>
      <c r="C75" s="6"/>
      <c r="D75" s="45">
        <v>1500</v>
      </c>
      <c r="E75" s="6"/>
      <c r="F75" s="94"/>
      <c r="G75" s="94"/>
      <c r="H75" s="94"/>
    </row>
    <row r="76" spans="1:8" ht="15.6" x14ac:dyDescent="0.3">
      <c r="A76" s="101" t="s">
        <v>66</v>
      </c>
      <c r="B76" s="45">
        <v>500</v>
      </c>
      <c r="C76" s="6"/>
      <c r="D76" s="45">
        <v>500</v>
      </c>
      <c r="E76" s="6"/>
      <c r="F76" s="94"/>
      <c r="G76" s="94"/>
      <c r="H76" s="94"/>
    </row>
    <row r="77" spans="1:8" ht="15.6" x14ac:dyDescent="0.3">
      <c r="A77" s="101" t="s">
        <v>67</v>
      </c>
      <c r="B77" s="45">
        <v>3000</v>
      </c>
      <c r="C77" s="6"/>
      <c r="D77" s="45">
        <v>3000</v>
      </c>
      <c r="E77" s="6"/>
      <c r="F77" s="94"/>
      <c r="G77" s="94"/>
      <c r="H77" s="94"/>
    </row>
    <row r="78" spans="1:8" ht="15.6" x14ac:dyDescent="0.3">
      <c r="A78" s="101" t="s">
        <v>157</v>
      </c>
      <c r="B78" s="6"/>
      <c r="C78" s="6">
        <f>SUM(B71:B77)</f>
        <v>17600</v>
      </c>
      <c r="D78" s="6"/>
      <c r="E78" s="6">
        <f>SUM(D71:D77)</f>
        <v>17600</v>
      </c>
      <c r="F78" s="94"/>
      <c r="G78" s="94"/>
      <c r="H78" s="94"/>
    </row>
    <row r="79" spans="1:8" ht="15.6" x14ac:dyDescent="0.3">
      <c r="A79" s="101" t="s">
        <v>159</v>
      </c>
      <c r="B79" s="6"/>
      <c r="C79" s="6">
        <f>C70-C78</f>
        <v>21909.375</v>
      </c>
      <c r="D79" s="6"/>
      <c r="E79" s="6">
        <f>E70-E78</f>
        <v>21804.552631578961</v>
      </c>
      <c r="F79" s="94"/>
      <c r="G79" s="94"/>
      <c r="H79" s="94"/>
    </row>
    <row r="80" spans="1:8" ht="15.6" x14ac:dyDescent="0.3">
      <c r="A80" s="51" t="s">
        <v>160</v>
      </c>
      <c r="B80" s="5"/>
      <c r="C80" s="5">
        <f>C79/C68*100</f>
        <v>8.9645560556464812</v>
      </c>
      <c r="D80" s="5"/>
      <c r="E80" s="5">
        <f>E79/E68*100</f>
        <v>8.9216663795331268</v>
      </c>
      <c r="F80" s="94"/>
      <c r="G80" s="94"/>
      <c r="H80" s="94"/>
    </row>
    <row r="81" spans="1:8" ht="15.6" x14ac:dyDescent="0.3">
      <c r="A81" s="108" t="s">
        <v>162</v>
      </c>
      <c r="B81" s="18" t="s">
        <v>161</v>
      </c>
      <c r="C81" s="18">
        <f>C70/C68*100</f>
        <v>16.165865384615387</v>
      </c>
      <c r="D81" s="18"/>
      <c r="E81" s="18">
        <f>E70/E68*100</f>
        <v>16.122975708502029</v>
      </c>
      <c r="F81" s="94"/>
      <c r="G81" s="94"/>
      <c r="H81" s="94"/>
    </row>
    <row r="82" spans="1:8" ht="15.6" x14ac:dyDescent="0.3">
      <c r="A82" s="94"/>
      <c r="B82" s="94"/>
      <c r="C82" s="94"/>
      <c r="D82" s="94"/>
      <c r="E82" s="94"/>
      <c r="F82" s="94"/>
      <c r="G82" s="94"/>
      <c r="H82" s="94"/>
    </row>
    <row r="83" spans="1:8" ht="15.6" x14ac:dyDescent="0.3">
      <c r="A83" s="94"/>
      <c r="B83" s="94"/>
      <c r="C83" s="94"/>
      <c r="D83" s="94"/>
      <c r="E83" s="94"/>
      <c r="F83" s="94"/>
      <c r="G83" s="94"/>
      <c r="H83" s="94"/>
    </row>
    <row r="84" spans="1:8" ht="15.6" x14ac:dyDescent="0.3">
      <c r="A84" s="94"/>
      <c r="B84" s="94"/>
      <c r="C84" s="94"/>
      <c r="D84" s="94"/>
      <c r="E84" s="94"/>
      <c r="F84" s="94"/>
      <c r="G84" s="94"/>
      <c r="H84" s="94"/>
    </row>
    <row r="85" spans="1:8" ht="15.6" x14ac:dyDescent="0.3">
      <c r="A85" s="94"/>
      <c r="B85" s="94"/>
      <c r="C85" s="94"/>
      <c r="D85" s="94"/>
      <c r="E85" s="94"/>
      <c r="F85" s="94"/>
      <c r="G85" s="94"/>
      <c r="H85" s="94"/>
    </row>
    <row r="86" spans="1:8" ht="15.6" x14ac:dyDescent="0.3">
      <c r="A86" s="135" t="s">
        <v>254</v>
      </c>
      <c r="B86" s="135"/>
      <c r="C86" s="135"/>
      <c r="D86" s="135"/>
      <c r="E86" s="135"/>
      <c r="F86" s="135"/>
      <c r="G86" s="94"/>
      <c r="H86" s="94"/>
    </row>
    <row r="87" spans="1:8" ht="15.6" x14ac:dyDescent="0.3">
      <c r="A87" s="58" t="s">
        <v>163</v>
      </c>
      <c r="B87" s="58" t="s">
        <v>164</v>
      </c>
      <c r="C87" s="58" t="s">
        <v>165</v>
      </c>
      <c r="D87" s="58" t="s">
        <v>166</v>
      </c>
      <c r="E87" s="58" t="s">
        <v>165</v>
      </c>
      <c r="F87" s="58" t="s">
        <v>167</v>
      </c>
      <c r="G87" s="94"/>
      <c r="H87" s="94"/>
    </row>
    <row r="88" spans="1:8" ht="15.6" x14ac:dyDescent="0.3">
      <c r="A88" s="61"/>
      <c r="B88" s="62" t="s">
        <v>93</v>
      </c>
      <c r="C88" s="62" t="s">
        <v>94</v>
      </c>
      <c r="D88" s="62" t="s">
        <v>168</v>
      </c>
      <c r="E88" s="62" t="s">
        <v>169</v>
      </c>
      <c r="F88" s="61"/>
      <c r="G88" s="94"/>
      <c r="H88" s="94"/>
    </row>
    <row r="89" spans="1:8" ht="15.6" x14ac:dyDescent="0.3">
      <c r="A89" s="59" t="s">
        <v>175</v>
      </c>
      <c r="B89" s="29">
        <v>700</v>
      </c>
      <c r="C89" s="29">
        <v>460</v>
      </c>
      <c r="D89" s="29">
        <v>230438</v>
      </c>
      <c r="E89" s="29">
        <v>16000</v>
      </c>
      <c r="F89" s="29">
        <f>SUM(B89:E89)</f>
        <v>247598</v>
      </c>
      <c r="G89" s="94"/>
      <c r="H89" s="94"/>
    </row>
    <row r="90" spans="1:8" ht="31.2" x14ac:dyDescent="0.3">
      <c r="A90" s="109" t="s">
        <v>170</v>
      </c>
      <c r="B90" s="29"/>
      <c r="C90" s="29"/>
      <c r="D90" s="60">
        <v>0.6</v>
      </c>
      <c r="E90" s="60">
        <v>0.4</v>
      </c>
      <c r="F90" s="29"/>
      <c r="G90" s="94"/>
      <c r="H90" s="94"/>
    </row>
    <row r="91" spans="1:8" ht="15.6" x14ac:dyDescent="0.3">
      <c r="A91" s="109" t="s">
        <v>171</v>
      </c>
      <c r="B91" s="29"/>
      <c r="C91" s="29"/>
      <c r="D91" s="60">
        <v>0.15</v>
      </c>
      <c r="E91" s="60">
        <v>0.85</v>
      </c>
      <c r="F91" s="29"/>
      <c r="G91" s="94"/>
      <c r="H91" s="94"/>
    </row>
    <row r="92" spans="1:8" ht="15.6" x14ac:dyDescent="0.3">
      <c r="A92" s="59" t="s">
        <v>172</v>
      </c>
      <c r="B92" s="29"/>
      <c r="C92" s="29"/>
      <c r="D92" s="29">
        <v>420</v>
      </c>
      <c r="E92" s="29">
        <v>280</v>
      </c>
      <c r="F92" s="29"/>
      <c r="G92" s="94"/>
      <c r="H92" s="94"/>
    </row>
    <row r="93" spans="1:8" ht="15.6" x14ac:dyDescent="0.3">
      <c r="A93" s="59" t="s">
        <v>173</v>
      </c>
      <c r="B93" s="29"/>
      <c r="C93" s="29"/>
      <c r="D93" s="29">
        <v>69</v>
      </c>
      <c r="E93" s="29">
        <v>391</v>
      </c>
      <c r="F93" s="29"/>
      <c r="G93" s="94"/>
      <c r="H93" s="94"/>
    </row>
    <row r="94" spans="1:8" ht="15.6" x14ac:dyDescent="0.3">
      <c r="A94" s="59" t="s">
        <v>174</v>
      </c>
      <c r="B94" s="29"/>
      <c r="C94" s="29"/>
      <c r="D94" s="29">
        <f>D89+D92+D93</f>
        <v>230927</v>
      </c>
      <c r="E94" s="29">
        <f>E89+E92+E93</f>
        <v>16671</v>
      </c>
      <c r="F94" s="29">
        <f>SUM(D94:E94)</f>
        <v>247598</v>
      </c>
      <c r="G94" s="94"/>
      <c r="H94" s="94"/>
    </row>
  </sheetData>
  <mergeCells count="10">
    <mergeCell ref="A3:D3"/>
    <mergeCell ref="A5:D5"/>
    <mergeCell ref="G13:H13"/>
    <mergeCell ref="G14:H14"/>
    <mergeCell ref="A23:E23"/>
    <mergeCell ref="A25:E25"/>
    <mergeCell ref="A86:F86"/>
    <mergeCell ref="A35:E35"/>
    <mergeCell ref="A56:D56"/>
    <mergeCell ref="A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5F24-B257-4EB3-9A52-8EECE175E75A}">
  <dimension ref="B2:M52"/>
  <sheetViews>
    <sheetView topLeftCell="A19" zoomScale="70" zoomScaleNormal="70" workbookViewId="0">
      <selection activeCell="B53" sqref="B53"/>
    </sheetView>
  </sheetViews>
  <sheetFormatPr defaultRowHeight="14.4" x14ac:dyDescent="0.3"/>
  <cols>
    <col min="2" max="2" width="58.44140625" customWidth="1"/>
    <col min="3" max="3" width="18" customWidth="1"/>
    <col min="6" max="6" width="35.44140625" customWidth="1"/>
    <col min="7" max="7" width="34.109375" customWidth="1"/>
    <col min="8" max="8" width="32.33203125" customWidth="1"/>
    <col min="9" max="9" width="25.6640625" customWidth="1"/>
    <col min="10" max="10" width="26.33203125" customWidth="1"/>
    <col min="11" max="11" width="23.5546875" customWidth="1"/>
    <col min="12" max="12" width="17.6640625" customWidth="1"/>
    <col min="13" max="13" width="19.6640625" customWidth="1"/>
  </cols>
  <sheetData>
    <row r="2" spans="2:13" ht="15.6" x14ac:dyDescent="0.3">
      <c r="B2" s="135" t="s">
        <v>176</v>
      </c>
      <c r="C2" s="135"/>
      <c r="D2" s="94"/>
      <c r="E2" s="94"/>
      <c r="F2" s="135" t="s">
        <v>201</v>
      </c>
      <c r="G2" s="135"/>
      <c r="H2" s="135"/>
      <c r="I2" s="135"/>
      <c r="J2" s="135"/>
      <c r="K2" s="135"/>
      <c r="L2" s="135"/>
      <c r="M2" s="94"/>
    </row>
    <row r="3" spans="2:13" ht="15.6" x14ac:dyDescent="0.3">
      <c r="B3" s="63" t="s">
        <v>179</v>
      </c>
      <c r="C3" s="17">
        <v>235</v>
      </c>
      <c r="D3" s="94"/>
      <c r="E3" s="94"/>
      <c r="F3" s="18" t="s">
        <v>0</v>
      </c>
      <c r="G3" s="18" t="s">
        <v>202</v>
      </c>
      <c r="H3" s="18" t="s">
        <v>203</v>
      </c>
      <c r="I3" s="18" t="s">
        <v>204</v>
      </c>
      <c r="J3" s="18" t="s">
        <v>205</v>
      </c>
      <c r="K3" s="18" t="s">
        <v>206</v>
      </c>
      <c r="L3" s="18" t="s">
        <v>207</v>
      </c>
      <c r="M3" s="94"/>
    </row>
    <row r="4" spans="2:13" ht="15.6" x14ac:dyDescent="0.3">
      <c r="B4" s="63" t="s">
        <v>178</v>
      </c>
      <c r="C4" s="17">
        <v>1040</v>
      </c>
      <c r="D4" s="94"/>
      <c r="E4" s="94"/>
      <c r="F4" s="75" t="s">
        <v>8</v>
      </c>
      <c r="G4" s="48">
        <v>0.55000000000000004</v>
      </c>
      <c r="H4" s="17">
        <f>G4*C13</f>
        <v>146.30000000000001</v>
      </c>
      <c r="I4" s="17">
        <v>0</v>
      </c>
      <c r="J4" s="17">
        <f>H4-I4</f>
        <v>146.30000000000001</v>
      </c>
      <c r="K4" s="48">
        <v>75</v>
      </c>
      <c r="L4" s="17">
        <f>J4*K4</f>
        <v>10972.5</v>
      </c>
      <c r="M4" s="94"/>
    </row>
    <row r="5" spans="2:13" ht="15.6" x14ac:dyDescent="0.3">
      <c r="B5" s="64" t="s">
        <v>177</v>
      </c>
      <c r="C5" s="18">
        <f>C3*C4</f>
        <v>244400</v>
      </c>
      <c r="D5" s="94"/>
      <c r="E5" s="94"/>
      <c r="F5" s="75" t="s">
        <v>9</v>
      </c>
      <c r="G5" s="48">
        <v>9.5000000000000001E-2</v>
      </c>
      <c r="H5" s="17">
        <f>G5*C13</f>
        <v>25.27</v>
      </c>
      <c r="I5" s="17">
        <v>0</v>
      </c>
      <c r="J5" s="17">
        <f t="shared" ref="J5:J14" si="0">H5-I5</f>
        <v>25.27</v>
      </c>
      <c r="K5" s="48">
        <v>75</v>
      </c>
      <c r="L5" s="17">
        <f t="shared" ref="L5:L14" si="1">J5*K5</f>
        <v>1895.25</v>
      </c>
      <c r="M5" s="94"/>
    </row>
    <row r="6" spans="2:13" ht="15.6" x14ac:dyDescent="0.3">
      <c r="B6" s="94"/>
      <c r="C6" s="94"/>
      <c r="D6" s="94"/>
      <c r="E6" s="94"/>
      <c r="F6" s="75" t="s">
        <v>10</v>
      </c>
      <c r="G6" s="48">
        <v>1200</v>
      </c>
      <c r="H6" s="17">
        <f>G6*C13</f>
        <v>319200</v>
      </c>
      <c r="I6" s="17">
        <v>0</v>
      </c>
      <c r="J6" s="17">
        <f t="shared" si="0"/>
        <v>319200</v>
      </c>
      <c r="K6" s="48">
        <v>1.2E-2</v>
      </c>
      <c r="L6" s="17">
        <f t="shared" si="1"/>
        <v>3830.4</v>
      </c>
      <c r="M6" s="94"/>
    </row>
    <row r="7" spans="2:13" ht="15.6" x14ac:dyDescent="0.3">
      <c r="B7" s="94"/>
      <c r="C7" s="94"/>
      <c r="D7" s="94"/>
      <c r="E7" s="94"/>
      <c r="F7" s="75" t="s">
        <v>11</v>
      </c>
      <c r="G7" s="48">
        <v>300</v>
      </c>
      <c r="H7" s="17">
        <f>G7*C13</f>
        <v>79800</v>
      </c>
      <c r="I7" s="17">
        <v>0</v>
      </c>
      <c r="J7" s="17">
        <f t="shared" si="0"/>
        <v>79800</v>
      </c>
      <c r="K7" s="48">
        <v>0.3</v>
      </c>
      <c r="L7" s="17">
        <f t="shared" si="1"/>
        <v>23940</v>
      </c>
      <c r="M7" s="94"/>
    </row>
    <row r="8" spans="2:13" ht="15.6" x14ac:dyDescent="0.3">
      <c r="B8" s="135" t="s">
        <v>180</v>
      </c>
      <c r="C8" s="135"/>
      <c r="D8" s="94"/>
      <c r="E8" s="94"/>
      <c r="F8" s="75" t="s">
        <v>12</v>
      </c>
      <c r="G8" s="48">
        <v>150</v>
      </c>
      <c r="H8" s="17">
        <f>G8*C13</f>
        <v>39900</v>
      </c>
      <c r="I8" s="17">
        <v>0</v>
      </c>
      <c r="J8" s="17">
        <f t="shared" si="0"/>
        <v>39900</v>
      </c>
      <c r="K8" s="48">
        <v>0.48</v>
      </c>
      <c r="L8" s="17">
        <f t="shared" si="1"/>
        <v>19152</v>
      </c>
      <c r="M8" s="94"/>
    </row>
    <row r="9" spans="2:13" ht="15.6" x14ac:dyDescent="0.3">
      <c r="B9" s="65" t="s">
        <v>179</v>
      </c>
      <c r="C9" s="17">
        <v>235</v>
      </c>
      <c r="D9" s="94"/>
      <c r="E9" s="94"/>
      <c r="F9" s="75" t="s">
        <v>13</v>
      </c>
      <c r="G9" s="48">
        <v>4</v>
      </c>
      <c r="H9" s="17">
        <f>G9*C13</f>
        <v>1064</v>
      </c>
      <c r="I9" s="17">
        <v>0</v>
      </c>
      <c r="J9" s="17">
        <f t="shared" si="0"/>
        <v>1064</v>
      </c>
      <c r="K9" s="48">
        <v>1</v>
      </c>
      <c r="L9" s="17">
        <f t="shared" si="1"/>
        <v>1064</v>
      </c>
      <c r="M9" s="94"/>
    </row>
    <row r="10" spans="2:13" ht="15.6" x14ac:dyDescent="0.3">
      <c r="B10" s="65" t="s">
        <v>186</v>
      </c>
      <c r="C10" s="17">
        <v>31</v>
      </c>
      <c r="D10" s="94"/>
      <c r="E10" s="94"/>
      <c r="F10" s="75" t="s">
        <v>14</v>
      </c>
      <c r="G10" s="76">
        <v>103</v>
      </c>
      <c r="H10" s="17">
        <f>G10*C13</f>
        <v>27398</v>
      </c>
      <c r="I10" s="17">
        <v>0</v>
      </c>
      <c r="J10" s="17">
        <f t="shared" si="0"/>
        <v>27398</v>
      </c>
      <c r="K10" s="48">
        <v>1</v>
      </c>
      <c r="L10" s="17">
        <f t="shared" si="1"/>
        <v>27398</v>
      </c>
      <c r="M10" s="94"/>
    </row>
    <row r="11" spans="2:13" ht="15.6" x14ac:dyDescent="0.3">
      <c r="B11" s="65" t="s">
        <v>187</v>
      </c>
      <c r="C11" s="17">
        <v>266</v>
      </c>
      <c r="D11" s="94"/>
      <c r="E11" s="94"/>
      <c r="F11" s="75" t="s">
        <v>15</v>
      </c>
      <c r="G11" s="48">
        <v>1500</v>
      </c>
      <c r="H11" s="17">
        <f>G11*C13</f>
        <v>399000</v>
      </c>
      <c r="I11" s="17">
        <v>0</v>
      </c>
      <c r="J11" s="17">
        <f t="shared" si="0"/>
        <v>399000</v>
      </c>
      <c r="K11" s="76">
        <v>0.13300000000000001</v>
      </c>
      <c r="L11" s="17">
        <f t="shared" si="1"/>
        <v>53067</v>
      </c>
      <c r="M11" s="94"/>
    </row>
    <row r="12" spans="2:13" ht="15.6" x14ac:dyDescent="0.3">
      <c r="B12" s="65" t="s">
        <v>188</v>
      </c>
      <c r="C12" s="17">
        <v>0</v>
      </c>
      <c r="D12" s="94"/>
      <c r="E12" s="94"/>
      <c r="F12" s="75" t="s">
        <v>16</v>
      </c>
      <c r="G12" s="48">
        <v>1</v>
      </c>
      <c r="H12" s="17">
        <f>G12*C13</f>
        <v>266</v>
      </c>
      <c r="I12" s="17">
        <v>0</v>
      </c>
      <c r="J12" s="17">
        <f t="shared" si="0"/>
        <v>266</v>
      </c>
      <c r="K12" s="48">
        <v>0.625</v>
      </c>
      <c r="L12" s="17">
        <f t="shared" si="1"/>
        <v>166.25</v>
      </c>
      <c r="M12" s="94"/>
    </row>
    <row r="13" spans="2:13" ht="15.6" x14ac:dyDescent="0.3">
      <c r="B13" s="71" t="s">
        <v>189</v>
      </c>
      <c r="C13" s="18">
        <f>C11-C12</f>
        <v>266</v>
      </c>
      <c r="D13" s="94"/>
      <c r="E13" s="94"/>
      <c r="F13" s="75" t="s">
        <v>17</v>
      </c>
      <c r="G13" s="48">
        <v>1</v>
      </c>
      <c r="H13" s="17">
        <f>G13*C13</f>
        <v>266</v>
      </c>
      <c r="I13" s="17">
        <v>0</v>
      </c>
      <c r="J13" s="17">
        <f t="shared" si="0"/>
        <v>266</v>
      </c>
      <c r="K13" s="48">
        <v>150</v>
      </c>
      <c r="L13" s="17">
        <f t="shared" si="1"/>
        <v>39900</v>
      </c>
      <c r="M13" s="94"/>
    </row>
    <row r="14" spans="2:13" ht="15.75" customHeight="1" x14ac:dyDescent="0.3">
      <c r="B14" s="67"/>
      <c r="C14" s="67"/>
      <c r="D14" s="94"/>
      <c r="E14" s="94"/>
      <c r="F14" s="17" t="s">
        <v>40</v>
      </c>
      <c r="G14" s="17">
        <v>1</v>
      </c>
      <c r="H14" s="17">
        <f>G14*C13</f>
        <v>266</v>
      </c>
      <c r="I14" s="17">
        <v>0</v>
      </c>
      <c r="J14" s="17">
        <f t="shared" si="0"/>
        <v>266</v>
      </c>
      <c r="K14" s="17">
        <v>12</v>
      </c>
      <c r="L14" s="17">
        <f t="shared" si="1"/>
        <v>3192</v>
      </c>
      <c r="M14" s="94"/>
    </row>
    <row r="15" spans="2:13" ht="15" customHeight="1" x14ac:dyDescent="0.3">
      <c r="B15" s="67"/>
      <c r="C15" s="67"/>
      <c r="D15" s="94"/>
      <c r="E15" s="94"/>
      <c r="F15" s="2" t="s">
        <v>18</v>
      </c>
      <c r="G15" s="12"/>
      <c r="H15" s="12"/>
      <c r="I15" s="12"/>
      <c r="J15" s="12"/>
      <c r="K15" s="12"/>
      <c r="L15" s="2">
        <f>SUM(L4:L14)</f>
        <v>184577.4</v>
      </c>
      <c r="M15" s="94"/>
    </row>
    <row r="16" spans="2:13" ht="15.6" x14ac:dyDescent="0.3">
      <c r="B16" s="141" t="s">
        <v>181</v>
      </c>
      <c r="C16" s="142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 spans="2:13" ht="15.6" x14ac:dyDescent="0.3">
      <c r="B17" s="65" t="s">
        <v>182</v>
      </c>
      <c r="C17" s="72">
        <f>C13</f>
        <v>266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2:13" ht="15.6" x14ac:dyDescent="0.3">
      <c r="B18" s="65" t="s">
        <v>191</v>
      </c>
      <c r="C18" s="70">
        <v>3</v>
      </c>
      <c r="D18" s="94"/>
      <c r="E18" s="94"/>
      <c r="F18" s="130" t="s">
        <v>208</v>
      </c>
      <c r="G18" s="130"/>
      <c r="H18" s="130"/>
      <c r="I18" s="130"/>
      <c r="J18" s="130"/>
      <c r="K18" s="130"/>
      <c r="L18" s="130"/>
      <c r="M18" s="130"/>
    </row>
    <row r="19" spans="2:13" ht="15.6" x14ac:dyDescent="0.3">
      <c r="B19" s="65" t="s">
        <v>190</v>
      </c>
      <c r="C19" s="70">
        <v>5</v>
      </c>
      <c r="D19" s="94"/>
      <c r="E19" s="94"/>
      <c r="F19" s="79" t="s">
        <v>0</v>
      </c>
      <c r="G19" s="79" t="s">
        <v>209</v>
      </c>
      <c r="H19" s="79" t="s">
        <v>210</v>
      </c>
      <c r="I19" s="79" t="s">
        <v>211</v>
      </c>
      <c r="J19" s="79" t="s">
        <v>204</v>
      </c>
      <c r="K19" s="79" t="s">
        <v>212</v>
      </c>
      <c r="L19" s="79" t="s">
        <v>206</v>
      </c>
      <c r="M19" s="79" t="s">
        <v>213</v>
      </c>
    </row>
    <row r="20" spans="2:13" ht="15.6" x14ac:dyDescent="0.3">
      <c r="B20" s="65" t="s">
        <v>193</v>
      </c>
      <c r="C20" s="70">
        <f>C17*C18</f>
        <v>798</v>
      </c>
      <c r="D20" s="94"/>
      <c r="E20" s="94"/>
      <c r="F20" s="80" t="s">
        <v>8</v>
      </c>
      <c r="G20" s="82">
        <f>J4</f>
        <v>146.30000000000001</v>
      </c>
      <c r="H20" s="82">
        <f>G20*0.16</f>
        <v>23.408000000000001</v>
      </c>
      <c r="I20" s="82">
        <f>SUM(G20:H20)</f>
        <v>169.70800000000003</v>
      </c>
      <c r="J20" s="82">
        <v>0</v>
      </c>
      <c r="K20" s="82">
        <f>I20-J20</f>
        <v>169.70800000000003</v>
      </c>
      <c r="L20" s="81">
        <f>K4</f>
        <v>75</v>
      </c>
      <c r="M20" s="82">
        <f>K20*L20</f>
        <v>12728.100000000002</v>
      </c>
    </row>
    <row r="21" spans="2:13" ht="15.6" x14ac:dyDescent="0.3">
      <c r="B21" s="65" t="s">
        <v>192</v>
      </c>
      <c r="C21" s="70">
        <v>40</v>
      </c>
      <c r="D21" s="94"/>
      <c r="E21" s="94"/>
      <c r="F21" s="80" t="s">
        <v>9</v>
      </c>
      <c r="G21" s="82">
        <f t="shared" ref="G21:G30" si="2">J5</f>
        <v>25.27</v>
      </c>
      <c r="H21" s="82">
        <f t="shared" ref="H21:H30" si="3">G21*0.16</f>
        <v>4.0431999999999997</v>
      </c>
      <c r="I21" s="82">
        <f t="shared" ref="I21:I30" si="4">SUM(G21:H21)</f>
        <v>29.313199999999998</v>
      </c>
      <c r="J21" s="82">
        <v>0</v>
      </c>
      <c r="K21" s="82">
        <f t="shared" ref="K21:K30" si="5">I21-J21</f>
        <v>29.313199999999998</v>
      </c>
      <c r="L21" s="81">
        <f t="shared" ref="L21:L30" si="6">K5</f>
        <v>75</v>
      </c>
      <c r="M21" s="82">
        <f t="shared" ref="M21:M30" si="7">K21*L21</f>
        <v>2198.4899999999998</v>
      </c>
    </row>
    <row r="22" spans="2:13" ht="15.6" x14ac:dyDescent="0.3">
      <c r="B22" s="66" t="s">
        <v>194</v>
      </c>
      <c r="C22" s="73">
        <f>C20*C21</f>
        <v>31920</v>
      </c>
      <c r="D22" s="94"/>
      <c r="E22" s="94"/>
      <c r="F22" s="80" t="s">
        <v>10</v>
      </c>
      <c r="G22" s="82">
        <f t="shared" si="2"/>
        <v>319200</v>
      </c>
      <c r="H22" s="82">
        <f t="shared" si="3"/>
        <v>51072</v>
      </c>
      <c r="I22" s="82">
        <f t="shared" si="4"/>
        <v>370272</v>
      </c>
      <c r="J22" s="82">
        <v>0</v>
      </c>
      <c r="K22" s="82">
        <f t="shared" si="5"/>
        <v>370272</v>
      </c>
      <c r="L22" s="81">
        <f t="shared" si="6"/>
        <v>1.2E-2</v>
      </c>
      <c r="M22" s="82">
        <f t="shared" si="7"/>
        <v>4443.2640000000001</v>
      </c>
    </row>
    <row r="23" spans="2:13" ht="15.6" x14ac:dyDescent="0.3">
      <c r="B23" s="77" t="s">
        <v>183</v>
      </c>
      <c r="C23" s="2">
        <f>C22/C17</f>
        <v>120</v>
      </c>
      <c r="D23" s="94"/>
      <c r="E23" s="94"/>
      <c r="F23" s="80" t="s">
        <v>11</v>
      </c>
      <c r="G23" s="82">
        <f t="shared" si="2"/>
        <v>79800</v>
      </c>
      <c r="H23" s="82">
        <f t="shared" si="3"/>
        <v>12768</v>
      </c>
      <c r="I23" s="82">
        <f t="shared" si="4"/>
        <v>92568</v>
      </c>
      <c r="J23" s="82">
        <v>0</v>
      </c>
      <c r="K23" s="82">
        <f t="shared" si="5"/>
        <v>92568</v>
      </c>
      <c r="L23" s="81">
        <f t="shared" si="6"/>
        <v>0.3</v>
      </c>
      <c r="M23" s="82">
        <f t="shared" si="7"/>
        <v>27770.399999999998</v>
      </c>
    </row>
    <row r="24" spans="2:13" ht="15.6" x14ac:dyDescent="0.3">
      <c r="B24" s="67"/>
      <c r="C24" s="68"/>
      <c r="D24" s="94"/>
      <c r="E24" s="94"/>
      <c r="F24" s="80" t="s">
        <v>12</v>
      </c>
      <c r="G24" s="82">
        <f t="shared" si="2"/>
        <v>39900</v>
      </c>
      <c r="H24" s="82">
        <f t="shared" si="3"/>
        <v>6384</v>
      </c>
      <c r="I24" s="82">
        <f t="shared" si="4"/>
        <v>46284</v>
      </c>
      <c r="J24" s="82">
        <v>0</v>
      </c>
      <c r="K24" s="82">
        <f t="shared" si="5"/>
        <v>46284</v>
      </c>
      <c r="L24" s="81">
        <f t="shared" si="6"/>
        <v>0.48</v>
      </c>
      <c r="M24" s="82">
        <f t="shared" si="7"/>
        <v>22216.32</v>
      </c>
    </row>
    <row r="25" spans="2:13" ht="15.6" x14ac:dyDescent="0.3">
      <c r="B25" s="94"/>
      <c r="C25" s="94"/>
      <c r="D25" s="94"/>
      <c r="E25" s="94"/>
      <c r="F25" s="80" t="s">
        <v>13</v>
      </c>
      <c r="G25" s="82">
        <f t="shared" si="2"/>
        <v>1064</v>
      </c>
      <c r="H25" s="82">
        <f t="shared" si="3"/>
        <v>170.24</v>
      </c>
      <c r="I25" s="82">
        <f t="shared" si="4"/>
        <v>1234.24</v>
      </c>
      <c r="J25" s="82">
        <v>0</v>
      </c>
      <c r="K25" s="82">
        <f t="shared" si="5"/>
        <v>1234.24</v>
      </c>
      <c r="L25" s="81">
        <f t="shared" si="6"/>
        <v>1</v>
      </c>
      <c r="M25" s="82">
        <f t="shared" si="7"/>
        <v>1234.24</v>
      </c>
    </row>
    <row r="26" spans="2:13" ht="15.6" x14ac:dyDescent="0.3">
      <c r="B26" s="141" t="s">
        <v>184</v>
      </c>
      <c r="C26" s="142"/>
      <c r="D26" s="94"/>
      <c r="E26" s="94"/>
      <c r="F26" s="80" t="s">
        <v>14</v>
      </c>
      <c r="G26" s="82">
        <f t="shared" si="2"/>
        <v>27398</v>
      </c>
      <c r="H26" s="82">
        <f t="shared" si="3"/>
        <v>4383.68</v>
      </c>
      <c r="I26" s="82">
        <f t="shared" si="4"/>
        <v>31781.68</v>
      </c>
      <c r="J26" s="82">
        <v>0</v>
      </c>
      <c r="K26" s="82">
        <f t="shared" si="5"/>
        <v>31781.68</v>
      </c>
      <c r="L26" s="81">
        <f t="shared" si="6"/>
        <v>1</v>
      </c>
      <c r="M26" s="82">
        <f t="shared" si="7"/>
        <v>31781.68</v>
      </c>
    </row>
    <row r="27" spans="2:13" ht="15.6" x14ac:dyDescent="0.3">
      <c r="B27" s="65" t="s">
        <v>195</v>
      </c>
      <c r="C27" s="72">
        <f>C13</f>
        <v>266</v>
      </c>
      <c r="D27" s="94"/>
      <c r="E27" s="94"/>
      <c r="F27" s="80" t="s">
        <v>15</v>
      </c>
      <c r="G27" s="82">
        <f t="shared" si="2"/>
        <v>399000</v>
      </c>
      <c r="H27" s="82">
        <f t="shared" si="3"/>
        <v>63840</v>
      </c>
      <c r="I27" s="82">
        <f t="shared" si="4"/>
        <v>462840</v>
      </c>
      <c r="J27" s="82">
        <v>0</v>
      </c>
      <c r="K27" s="82">
        <f t="shared" si="5"/>
        <v>462840</v>
      </c>
      <c r="L27" s="81">
        <f t="shared" si="6"/>
        <v>0.13300000000000001</v>
      </c>
      <c r="M27" s="82">
        <f t="shared" si="7"/>
        <v>61557.72</v>
      </c>
    </row>
    <row r="28" spans="2:13" ht="15.6" x14ac:dyDescent="0.3">
      <c r="B28" s="65" t="s">
        <v>196</v>
      </c>
      <c r="C28" s="70">
        <v>25.7895</v>
      </c>
      <c r="D28" s="94"/>
      <c r="E28" s="94"/>
      <c r="F28" s="80" t="s">
        <v>16</v>
      </c>
      <c r="G28" s="82">
        <f>J12</f>
        <v>266</v>
      </c>
      <c r="H28" s="82">
        <f t="shared" si="3"/>
        <v>42.56</v>
      </c>
      <c r="I28" s="82">
        <f t="shared" si="4"/>
        <v>308.56</v>
      </c>
      <c r="J28" s="82">
        <v>0</v>
      </c>
      <c r="K28" s="82">
        <f t="shared" si="5"/>
        <v>308.56</v>
      </c>
      <c r="L28" s="81">
        <f t="shared" si="6"/>
        <v>0.625</v>
      </c>
      <c r="M28" s="82">
        <f t="shared" si="7"/>
        <v>192.85</v>
      </c>
    </row>
    <row r="29" spans="2:13" ht="15.6" x14ac:dyDescent="0.3">
      <c r="B29" s="65" t="s">
        <v>197</v>
      </c>
      <c r="C29" s="70">
        <f>C28*C27</f>
        <v>6860.0070000000005</v>
      </c>
      <c r="D29" s="94"/>
      <c r="E29" s="94"/>
      <c r="F29" s="80" t="s">
        <v>17</v>
      </c>
      <c r="G29" s="82">
        <f t="shared" si="2"/>
        <v>266</v>
      </c>
      <c r="H29" s="82">
        <f t="shared" si="3"/>
        <v>42.56</v>
      </c>
      <c r="I29" s="82">
        <f t="shared" si="4"/>
        <v>308.56</v>
      </c>
      <c r="J29" s="82">
        <v>0</v>
      </c>
      <c r="K29" s="82">
        <f t="shared" si="5"/>
        <v>308.56</v>
      </c>
      <c r="L29" s="81">
        <f t="shared" si="6"/>
        <v>150</v>
      </c>
      <c r="M29" s="82">
        <f t="shared" si="7"/>
        <v>46284</v>
      </c>
    </row>
    <row r="30" spans="2:13" ht="15.6" x14ac:dyDescent="0.3">
      <c r="B30" s="65" t="s">
        <v>198</v>
      </c>
      <c r="C30" s="70">
        <v>8600</v>
      </c>
      <c r="D30" s="94"/>
      <c r="E30" s="94"/>
      <c r="F30" s="82" t="s">
        <v>40</v>
      </c>
      <c r="G30" s="82">
        <f t="shared" si="2"/>
        <v>266</v>
      </c>
      <c r="H30" s="82">
        <f t="shared" si="3"/>
        <v>42.56</v>
      </c>
      <c r="I30" s="82">
        <f t="shared" si="4"/>
        <v>308.56</v>
      </c>
      <c r="J30" s="82">
        <v>0</v>
      </c>
      <c r="K30" s="82">
        <f t="shared" si="5"/>
        <v>308.56</v>
      </c>
      <c r="L30" s="81">
        <f t="shared" si="6"/>
        <v>12</v>
      </c>
      <c r="M30" s="82">
        <f t="shared" si="7"/>
        <v>3702.7200000000003</v>
      </c>
    </row>
    <row r="31" spans="2:13" ht="15.6" x14ac:dyDescent="0.3">
      <c r="B31" s="65" t="s">
        <v>199</v>
      </c>
      <c r="C31" s="70">
        <f>C30+C29</f>
        <v>15460.007000000001</v>
      </c>
      <c r="D31" s="94"/>
      <c r="E31" s="94"/>
      <c r="F31" s="83" t="s">
        <v>18</v>
      </c>
      <c r="G31" s="83"/>
      <c r="H31" s="83"/>
      <c r="I31" s="83"/>
      <c r="J31" s="83"/>
      <c r="K31" s="83"/>
      <c r="L31" s="83"/>
      <c r="M31" s="83">
        <f>SUM(M20:M30)</f>
        <v>214109.78400000001</v>
      </c>
    </row>
    <row r="32" spans="2:13" ht="15.6" x14ac:dyDescent="0.3">
      <c r="B32" s="65" t="s">
        <v>118</v>
      </c>
      <c r="C32" s="70">
        <v>1160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</row>
    <row r="33" spans="2:13" ht="15.6" x14ac:dyDescent="0.3">
      <c r="B33" s="69" t="s">
        <v>200</v>
      </c>
      <c r="C33" s="74">
        <f>C31+C32</f>
        <v>16620.007000000001</v>
      </c>
      <c r="D33" s="94"/>
      <c r="E33" s="94"/>
      <c r="F33" s="94"/>
      <c r="G33" s="94"/>
      <c r="H33" s="94"/>
      <c r="I33" s="94"/>
      <c r="J33" s="94"/>
      <c r="K33" s="94"/>
      <c r="L33" s="94"/>
      <c r="M33" s="94"/>
    </row>
    <row r="34" spans="2:13" ht="15.6" x14ac:dyDescent="0.3">
      <c r="B34" s="74">
        <f>C33/C13</f>
        <v>62.481229323308277</v>
      </c>
      <c r="C34" s="74" t="s">
        <v>185</v>
      </c>
      <c r="D34" s="94"/>
      <c r="E34" s="94"/>
      <c r="F34" s="94"/>
      <c r="G34" s="94"/>
      <c r="H34" s="94"/>
      <c r="I34" s="94"/>
      <c r="J34" s="94"/>
      <c r="K34" s="94"/>
      <c r="L34" s="94"/>
      <c r="M34" s="94"/>
    </row>
    <row r="35" spans="2:13" ht="15.6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</row>
    <row r="36" spans="2:13" ht="15.6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</row>
    <row r="37" spans="2:13" ht="15.6" x14ac:dyDescent="0.3">
      <c r="B37" s="143" t="s">
        <v>226</v>
      </c>
      <c r="C37" s="144"/>
      <c r="D37" s="94"/>
      <c r="E37" s="94"/>
      <c r="F37" s="139" t="s">
        <v>214</v>
      </c>
      <c r="G37" s="140"/>
      <c r="H37" s="140"/>
      <c r="I37" s="140"/>
      <c r="J37" s="94"/>
      <c r="K37" s="94"/>
      <c r="L37" s="94"/>
      <c r="M37" s="94"/>
    </row>
    <row r="38" spans="2:13" ht="15.6" x14ac:dyDescent="0.3">
      <c r="B38" s="100" t="s">
        <v>227</v>
      </c>
      <c r="C38" s="100"/>
      <c r="D38" s="94"/>
      <c r="E38" s="94"/>
      <c r="F38" s="87" t="s">
        <v>215</v>
      </c>
      <c r="G38" s="88" t="s">
        <v>216</v>
      </c>
      <c r="H38" s="88" t="s">
        <v>5</v>
      </c>
      <c r="I38" s="88" t="s">
        <v>18</v>
      </c>
      <c r="J38" s="94"/>
      <c r="K38" s="94"/>
      <c r="L38" s="94"/>
      <c r="M38" s="94"/>
    </row>
    <row r="39" spans="2:13" ht="15.6" x14ac:dyDescent="0.3">
      <c r="B39" s="96" t="s">
        <v>201</v>
      </c>
      <c r="C39" s="96">
        <f>L15</f>
        <v>184577.4</v>
      </c>
      <c r="D39" s="94"/>
      <c r="E39" s="94"/>
      <c r="F39" s="75" t="s">
        <v>8</v>
      </c>
      <c r="G39" s="84">
        <f>H20</f>
        <v>23.408000000000001</v>
      </c>
      <c r="H39" s="84">
        <f>K4</f>
        <v>75</v>
      </c>
      <c r="I39" s="84">
        <f>G39*H39</f>
        <v>1755.6000000000001</v>
      </c>
      <c r="J39" s="94"/>
      <c r="K39" s="94"/>
      <c r="L39" s="94"/>
      <c r="M39" s="94"/>
    </row>
    <row r="40" spans="2:13" ht="15.6" x14ac:dyDescent="0.3">
      <c r="B40" s="96" t="s">
        <v>19</v>
      </c>
      <c r="C40" s="96">
        <f>C22</f>
        <v>31920</v>
      </c>
      <c r="D40" s="94"/>
      <c r="E40" s="94"/>
      <c r="F40" s="75" t="s">
        <v>9</v>
      </c>
      <c r="G40" s="84">
        <f t="shared" ref="G40:G48" si="8">H21</f>
        <v>4.0431999999999997</v>
      </c>
      <c r="H40" s="84">
        <f t="shared" ref="H40:H48" si="9">K5</f>
        <v>75</v>
      </c>
      <c r="I40" s="84">
        <f t="shared" ref="I40:I49" si="10">G40*H40</f>
        <v>303.23999999999995</v>
      </c>
      <c r="J40" s="94"/>
      <c r="K40" s="94"/>
      <c r="L40" s="94"/>
      <c r="M40" s="94"/>
    </row>
    <row r="41" spans="2:13" ht="15.6" x14ac:dyDescent="0.3">
      <c r="B41" s="96" t="s">
        <v>28</v>
      </c>
      <c r="C41" s="96">
        <f>C33</f>
        <v>16620.007000000001</v>
      </c>
      <c r="D41" s="94"/>
      <c r="E41" s="94"/>
      <c r="F41" s="75" t="s">
        <v>10</v>
      </c>
      <c r="G41" s="84">
        <f t="shared" si="8"/>
        <v>51072</v>
      </c>
      <c r="H41" s="84">
        <f t="shared" si="9"/>
        <v>1.2E-2</v>
      </c>
      <c r="I41" s="84">
        <f t="shared" si="10"/>
        <v>612.86400000000003</v>
      </c>
      <c r="J41" s="94"/>
      <c r="K41" s="94"/>
      <c r="L41" s="94"/>
      <c r="M41" s="94"/>
    </row>
    <row r="42" spans="2:13" ht="15.6" x14ac:dyDescent="0.3">
      <c r="B42" s="96" t="s">
        <v>228</v>
      </c>
      <c r="C42" s="96">
        <f>SUM(C39:C41)</f>
        <v>233117.40700000001</v>
      </c>
      <c r="D42" s="94"/>
      <c r="E42" s="94"/>
      <c r="F42" s="75" t="s">
        <v>11</v>
      </c>
      <c r="G42" s="84">
        <f t="shared" si="8"/>
        <v>12768</v>
      </c>
      <c r="H42" s="84">
        <f t="shared" si="9"/>
        <v>0.3</v>
      </c>
      <c r="I42" s="84">
        <f t="shared" si="10"/>
        <v>3830.3999999999996</v>
      </c>
      <c r="J42" s="94"/>
      <c r="K42" s="94"/>
      <c r="L42" s="94"/>
      <c r="M42" s="94"/>
    </row>
    <row r="43" spans="2:13" ht="15.6" x14ac:dyDescent="0.3">
      <c r="B43" s="96" t="s">
        <v>229</v>
      </c>
      <c r="C43" s="97">
        <f>I51</f>
        <v>27028.125</v>
      </c>
      <c r="D43" s="94"/>
      <c r="E43" s="94"/>
      <c r="F43" s="75" t="s">
        <v>12</v>
      </c>
      <c r="G43" s="84">
        <f t="shared" si="8"/>
        <v>6384</v>
      </c>
      <c r="H43" s="84">
        <f t="shared" si="9"/>
        <v>0.48</v>
      </c>
      <c r="I43" s="84">
        <f t="shared" si="10"/>
        <v>3064.3199999999997</v>
      </c>
      <c r="J43" s="94"/>
      <c r="K43" s="94"/>
      <c r="L43" s="94"/>
      <c r="M43" s="94"/>
    </row>
    <row r="44" spans="2:13" ht="15.6" x14ac:dyDescent="0.3">
      <c r="B44" s="98" t="s">
        <v>230</v>
      </c>
      <c r="C44" s="99">
        <f>C42-C43</f>
        <v>206089.28200000001</v>
      </c>
      <c r="D44" s="94"/>
      <c r="E44" s="94"/>
      <c r="F44" s="75" t="s">
        <v>13</v>
      </c>
      <c r="G44" s="84">
        <f t="shared" si="8"/>
        <v>170.24</v>
      </c>
      <c r="H44" s="84">
        <f t="shared" si="9"/>
        <v>1</v>
      </c>
      <c r="I44" s="84">
        <f t="shared" si="10"/>
        <v>170.24</v>
      </c>
      <c r="J44" s="94"/>
      <c r="K44" s="94"/>
      <c r="L44" s="94"/>
      <c r="M44" s="94"/>
    </row>
    <row r="45" spans="2:13" ht="15.6" x14ac:dyDescent="0.3">
      <c r="B45" s="94"/>
      <c r="C45" s="94"/>
      <c r="D45" s="94"/>
      <c r="E45" s="94"/>
      <c r="F45" s="75" t="s">
        <v>14</v>
      </c>
      <c r="G45" s="84">
        <f t="shared" si="8"/>
        <v>4383.68</v>
      </c>
      <c r="H45" s="84">
        <f t="shared" si="9"/>
        <v>1</v>
      </c>
      <c r="I45" s="84">
        <f t="shared" si="10"/>
        <v>4383.68</v>
      </c>
      <c r="J45" s="94"/>
      <c r="K45" s="94"/>
      <c r="L45" s="94"/>
      <c r="M45" s="94"/>
    </row>
    <row r="46" spans="2:13" ht="15.6" x14ac:dyDescent="0.3">
      <c r="B46" s="94"/>
      <c r="C46" s="94"/>
      <c r="D46" s="94"/>
      <c r="E46" s="94"/>
      <c r="F46" s="75" t="s">
        <v>15</v>
      </c>
      <c r="G46" s="84">
        <f t="shared" si="8"/>
        <v>63840</v>
      </c>
      <c r="H46" s="84">
        <f t="shared" si="9"/>
        <v>0.13300000000000001</v>
      </c>
      <c r="I46" s="84">
        <f t="shared" si="10"/>
        <v>8490.7200000000012</v>
      </c>
      <c r="J46" s="94"/>
      <c r="K46" s="94"/>
      <c r="L46" s="94"/>
      <c r="M46" s="94"/>
    </row>
    <row r="47" spans="2:13" ht="15.6" x14ac:dyDescent="0.3">
      <c r="B47" s="94"/>
      <c r="C47" s="94"/>
      <c r="D47" s="94"/>
      <c r="E47" s="94"/>
      <c r="F47" s="75" t="s">
        <v>16</v>
      </c>
      <c r="G47" s="84">
        <f t="shared" si="8"/>
        <v>42.56</v>
      </c>
      <c r="H47" s="84">
        <f t="shared" si="9"/>
        <v>0.625</v>
      </c>
      <c r="I47" s="84">
        <f t="shared" si="10"/>
        <v>26.6</v>
      </c>
      <c r="J47" s="94"/>
      <c r="K47" s="94"/>
      <c r="L47" s="94"/>
      <c r="M47" s="94"/>
    </row>
    <row r="48" spans="2:13" ht="15.6" x14ac:dyDescent="0.3">
      <c r="B48" s="94"/>
      <c r="C48" s="94"/>
      <c r="D48" s="94"/>
      <c r="E48" s="94"/>
      <c r="F48" s="75" t="s">
        <v>17</v>
      </c>
      <c r="G48" s="84">
        <f t="shared" si="8"/>
        <v>42.56</v>
      </c>
      <c r="H48" s="84">
        <f t="shared" si="9"/>
        <v>150</v>
      </c>
      <c r="I48" s="84">
        <f t="shared" si="10"/>
        <v>6384</v>
      </c>
      <c r="J48" s="94"/>
      <c r="K48" s="94"/>
      <c r="L48" s="94"/>
      <c r="M48" s="94"/>
    </row>
    <row r="49" spans="2:13" ht="15.6" x14ac:dyDescent="0.3">
      <c r="B49" s="94"/>
      <c r="C49" s="94"/>
      <c r="D49" s="94"/>
      <c r="E49" s="94"/>
      <c r="F49" s="17" t="s">
        <v>40</v>
      </c>
      <c r="G49" s="84">
        <f>H30</f>
        <v>42.56</v>
      </c>
      <c r="H49" s="84">
        <f>K14</f>
        <v>12</v>
      </c>
      <c r="I49" s="84">
        <f t="shared" si="10"/>
        <v>510.72</v>
      </c>
      <c r="J49" s="94"/>
      <c r="K49" s="94"/>
      <c r="L49" s="94"/>
      <c r="M49" s="94"/>
    </row>
    <row r="50" spans="2:13" ht="15.6" x14ac:dyDescent="0.3">
      <c r="B50" s="94"/>
      <c r="C50" s="94"/>
      <c r="D50" s="94"/>
      <c r="E50" s="94"/>
      <c r="F50" s="85" t="s">
        <v>219</v>
      </c>
      <c r="G50" s="86">
        <f>SUM(G39:G49)</f>
        <v>138773.05120000002</v>
      </c>
      <c r="H50" s="86">
        <f t="shared" ref="H50:I50" si="11">SUM(H39:H49)</f>
        <v>315.55</v>
      </c>
      <c r="I50" s="86">
        <f t="shared" si="11"/>
        <v>29532.383999999998</v>
      </c>
      <c r="J50" s="94"/>
      <c r="K50" s="94"/>
      <c r="L50" s="94"/>
      <c r="M50" s="94"/>
    </row>
    <row r="51" spans="2:13" ht="15.6" x14ac:dyDescent="0.3">
      <c r="B51" s="94"/>
      <c r="C51" s="94"/>
      <c r="D51" s="94"/>
      <c r="E51" s="94"/>
      <c r="F51" s="89" t="s">
        <v>217</v>
      </c>
      <c r="G51" s="89">
        <f>C10</f>
        <v>31</v>
      </c>
      <c r="H51" s="89">
        <v>871.875</v>
      </c>
      <c r="I51" s="89">
        <f>G51*H51</f>
        <v>27028.125</v>
      </c>
      <c r="J51" s="94"/>
      <c r="K51" s="94"/>
      <c r="L51" s="94"/>
      <c r="M51" s="94"/>
    </row>
    <row r="52" spans="2:13" ht="15.6" x14ac:dyDescent="0.3">
      <c r="B52" s="94"/>
      <c r="C52" s="94"/>
      <c r="D52" s="94"/>
      <c r="E52" s="94"/>
      <c r="F52" s="90" t="s">
        <v>218</v>
      </c>
      <c r="G52" s="90"/>
      <c r="H52" s="90"/>
      <c r="I52" s="90">
        <f>SUM(I50:I51)</f>
        <v>56560.508999999998</v>
      </c>
      <c r="J52" s="94"/>
      <c r="K52" s="94"/>
      <c r="L52" s="94"/>
      <c r="M52" s="94"/>
    </row>
  </sheetData>
  <mergeCells count="8">
    <mergeCell ref="F37:I37"/>
    <mergeCell ref="B2:C2"/>
    <mergeCell ref="B8:C8"/>
    <mergeCell ref="B16:C16"/>
    <mergeCell ref="B26:C26"/>
    <mergeCell ref="F2:L2"/>
    <mergeCell ref="F18:M18"/>
    <mergeCell ref="B37:C37"/>
  </mergeCells>
  <pageMargins left="0.7" right="0.7" top="0.75" bottom="0.75" header="0.3" footer="0.3"/>
  <ignoredErrors>
    <ignoredError sqref="I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EC9F-5E94-4D22-8410-C6DFE6FB3581}">
  <dimension ref="B5:I24"/>
  <sheetViews>
    <sheetView workbookViewId="0">
      <selection activeCell="J13" sqref="J13"/>
    </sheetView>
  </sheetViews>
  <sheetFormatPr defaultRowHeight="14.4" x14ac:dyDescent="0.3"/>
  <cols>
    <col min="2" max="2" width="23.6640625" customWidth="1"/>
    <col min="7" max="7" width="22.109375" customWidth="1"/>
  </cols>
  <sheetData>
    <row r="5" spans="2:9" ht="15.6" x14ac:dyDescent="0.3">
      <c r="B5" s="145" t="s">
        <v>221</v>
      </c>
      <c r="C5" s="145"/>
      <c r="D5" s="145"/>
      <c r="E5" s="94"/>
      <c r="F5" s="94"/>
      <c r="G5" s="145" t="s">
        <v>232</v>
      </c>
      <c r="H5" s="145"/>
      <c r="I5" s="145"/>
    </row>
    <row r="6" spans="2:9" ht="15.6" x14ac:dyDescent="0.3">
      <c r="B6" s="135" t="s">
        <v>222</v>
      </c>
      <c r="C6" s="135"/>
      <c r="D6" s="135"/>
      <c r="E6" s="94"/>
      <c r="F6" s="94"/>
      <c r="G6" s="135" t="s">
        <v>222</v>
      </c>
      <c r="H6" s="135"/>
      <c r="I6" s="135"/>
    </row>
    <row r="7" spans="2:9" ht="15.6" x14ac:dyDescent="0.3">
      <c r="B7" s="12" t="s">
        <v>223</v>
      </c>
      <c r="C7" s="12"/>
      <c r="D7" s="12"/>
      <c r="E7" s="94"/>
      <c r="F7" s="94"/>
      <c r="G7" s="146" t="s">
        <v>223</v>
      </c>
      <c r="H7" s="146"/>
      <c r="I7" s="146"/>
    </row>
    <row r="8" spans="2:9" ht="15.6" x14ac:dyDescent="0.3">
      <c r="B8" s="29" t="s">
        <v>224</v>
      </c>
      <c r="C8" s="29"/>
      <c r="D8" s="29">
        <v>244400</v>
      </c>
      <c r="E8" s="94"/>
      <c r="F8" s="94"/>
      <c r="G8" s="29" t="s">
        <v>224</v>
      </c>
      <c r="H8" s="29"/>
      <c r="I8" s="29">
        <v>244400</v>
      </c>
    </row>
    <row r="9" spans="2:9" ht="15.6" x14ac:dyDescent="0.3">
      <c r="B9" s="29" t="s">
        <v>225</v>
      </c>
      <c r="C9" s="29"/>
      <c r="D9" s="29">
        <v>206089</v>
      </c>
      <c r="E9" s="94"/>
      <c r="F9" s="94"/>
      <c r="G9" s="29" t="s">
        <v>233</v>
      </c>
      <c r="H9" s="29"/>
      <c r="I9" s="29">
        <f>(223437.4/266)*235</f>
        <v>197397.70300751881</v>
      </c>
    </row>
    <row r="10" spans="2:9" ht="15.6" x14ac:dyDescent="0.3">
      <c r="B10" s="29" t="s">
        <v>158</v>
      </c>
      <c r="C10" s="29"/>
      <c r="D10" s="29">
        <f>D8-D9</f>
        <v>38311</v>
      </c>
      <c r="E10" s="94"/>
      <c r="F10" s="94"/>
      <c r="G10" s="29" t="s">
        <v>234</v>
      </c>
      <c r="H10" s="29"/>
      <c r="I10" s="29">
        <f>I8-I9</f>
        <v>47002.296992481191</v>
      </c>
    </row>
    <row r="11" spans="2:9" ht="15.6" x14ac:dyDescent="0.3">
      <c r="B11" s="24" t="s">
        <v>231</v>
      </c>
      <c r="C11" s="24"/>
      <c r="D11" s="24"/>
      <c r="E11" s="94"/>
      <c r="F11" s="94"/>
      <c r="G11" s="29" t="s">
        <v>235</v>
      </c>
      <c r="H11" s="29"/>
      <c r="I11" s="29">
        <v>27360</v>
      </c>
    </row>
    <row r="12" spans="2:9" ht="15.6" x14ac:dyDescent="0.3">
      <c r="B12" s="101" t="s">
        <v>59</v>
      </c>
      <c r="C12" s="45">
        <v>4000</v>
      </c>
      <c r="D12" s="24"/>
      <c r="E12" s="94"/>
      <c r="F12" s="94"/>
      <c r="G12" s="103" t="s">
        <v>159</v>
      </c>
      <c r="H12" s="103"/>
      <c r="I12" s="103">
        <f>I10-I11</f>
        <v>19642.296992481191</v>
      </c>
    </row>
    <row r="13" spans="2:9" ht="15.6" x14ac:dyDescent="0.3">
      <c r="B13" s="101" t="s">
        <v>60</v>
      </c>
      <c r="C13" s="45">
        <v>2500</v>
      </c>
      <c r="D13" s="24"/>
      <c r="E13" s="94"/>
      <c r="F13" s="94"/>
      <c r="G13" s="94"/>
      <c r="H13" s="94"/>
      <c r="I13" s="94"/>
    </row>
    <row r="14" spans="2:9" ht="15.6" x14ac:dyDescent="0.3">
      <c r="B14" s="101" t="s">
        <v>61</v>
      </c>
      <c r="C14" s="45">
        <v>3600</v>
      </c>
      <c r="D14" s="24"/>
      <c r="E14" s="94"/>
      <c r="F14" s="94"/>
      <c r="G14" s="94"/>
      <c r="H14" s="94"/>
      <c r="I14" s="94"/>
    </row>
    <row r="15" spans="2:9" ht="15.6" x14ac:dyDescent="0.3">
      <c r="B15" s="101" t="s">
        <v>62</v>
      </c>
      <c r="C15" s="45">
        <v>2500</v>
      </c>
      <c r="D15" s="24"/>
      <c r="E15" s="94"/>
      <c r="F15" s="94"/>
      <c r="G15" s="94"/>
      <c r="H15" s="94"/>
      <c r="I15" s="94"/>
    </row>
    <row r="16" spans="2:9" ht="15.6" x14ac:dyDescent="0.3">
      <c r="B16" s="101" t="s">
        <v>65</v>
      </c>
      <c r="C16" s="45">
        <v>1500</v>
      </c>
      <c r="D16" s="24"/>
      <c r="E16" s="94"/>
      <c r="F16" s="94"/>
      <c r="G16" s="94"/>
      <c r="H16" s="94"/>
      <c r="I16" s="94"/>
    </row>
    <row r="17" spans="2:9" ht="15.6" x14ac:dyDescent="0.3">
      <c r="B17" s="101" t="s">
        <v>66</v>
      </c>
      <c r="C17" s="45">
        <v>500</v>
      </c>
      <c r="D17" s="24"/>
      <c r="E17" s="94"/>
      <c r="F17" s="94"/>
      <c r="G17" s="94"/>
      <c r="H17" s="94"/>
      <c r="I17" s="94"/>
    </row>
    <row r="18" spans="2:9" ht="15.6" x14ac:dyDescent="0.3">
      <c r="B18" s="101" t="s">
        <v>67</v>
      </c>
      <c r="C18" s="45">
        <v>3000</v>
      </c>
      <c r="D18" s="24"/>
      <c r="E18" s="94"/>
      <c r="F18" s="94"/>
      <c r="G18" s="94"/>
      <c r="H18" s="94"/>
      <c r="I18" s="94"/>
    </row>
    <row r="19" spans="2:9" ht="15.6" x14ac:dyDescent="0.3">
      <c r="B19" s="101" t="s">
        <v>93</v>
      </c>
      <c r="C19" s="45">
        <v>700</v>
      </c>
      <c r="D19" s="24"/>
      <c r="E19" s="94"/>
      <c r="F19" s="94"/>
      <c r="G19" s="94"/>
      <c r="H19" s="94"/>
      <c r="I19" s="94"/>
    </row>
    <row r="20" spans="2:9" ht="15.6" x14ac:dyDescent="0.3">
      <c r="B20" s="101" t="s">
        <v>94</v>
      </c>
      <c r="C20" s="45">
        <v>460</v>
      </c>
      <c r="D20" s="24">
        <f>SUM(C12:C20)</f>
        <v>18760</v>
      </c>
      <c r="E20" s="94"/>
      <c r="F20" s="94"/>
      <c r="G20" s="94"/>
      <c r="H20" s="94"/>
      <c r="I20" s="94"/>
    </row>
    <row r="21" spans="2:9" ht="15.6" x14ac:dyDescent="0.3">
      <c r="B21" s="102" t="s">
        <v>159</v>
      </c>
      <c r="C21" s="103"/>
      <c r="D21" s="103">
        <f>D10-D20</f>
        <v>19551</v>
      </c>
      <c r="E21" s="94"/>
      <c r="F21" s="94"/>
      <c r="G21" s="94"/>
      <c r="H21" s="94"/>
      <c r="I21" s="94"/>
    </row>
    <row r="24" spans="2:9" ht="15.6" x14ac:dyDescent="0.3">
      <c r="B24" s="95"/>
      <c r="C24" s="95"/>
      <c r="D24" s="95"/>
    </row>
  </sheetData>
  <mergeCells count="5">
    <mergeCell ref="B5:D5"/>
    <mergeCell ref="B6:D6"/>
    <mergeCell ref="G5:I5"/>
    <mergeCell ref="G6:I6"/>
    <mergeCell ref="G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D27B-7C17-475F-9EB8-1B7B4957AB4E}">
  <dimension ref="B3:N28"/>
  <sheetViews>
    <sheetView workbookViewId="0">
      <selection activeCell="L15" sqref="L15"/>
    </sheetView>
  </sheetViews>
  <sheetFormatPr defaultRowHeight="14.4" x14ac:dyDescent="0.3"/>
  <cols>
    <col min="2" max="2" width="27.5546875" customWidth="1"/>
    <col min="8" max="8" width="22.109375" customWidth="1"/>
    <col min="12" max="12" width="21.5546875" customWidth="1"/>
    <col min="13" max="13" width="15.109375" customWidth="1"/>
    <col min="14" max="14" width="14.88671875" customWidth="1"/>
  </cols>
  <sheetData>
    <row r="3" spans="2:14" ht="15.6" x14ac:dyDescent="0.3">
      <c r="B3" s="103"/>
      <c r="C3" s="78"/>
      <c r="D3" s="78" t="s">
        <v>238</v>
      </c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2:14" ht="15.6" x14ac:dyDescent="0.3">
      <c r="B4" s="24" t="s">
        <v>224</v>
      </c>
      <c r="C4" s="6">
        <v>244400</v>
      </c>
      <c r="D4" s="17">
        <f>C4/235</f>
        <v>1040</v>
      </c>
      <c r="E4" s="94"/>
      <c r="F4" s="94"/>
      <c r="G4" s="94"/>
      <c r="H4" s="129" t="s">
        <v>251</v>
      </c>
      <c r="I4" s="129"/>
      <c r="J4" s="129"/>
      <c r="K4" s="94"/>
      <c r="L4" s="129" t="s">
        <v>252</v>
      </c>
      <c r="M4" s="129"/>
      <c r="N4" s="129"/>
    </row>
    <row r="5" spans="2:14" ht="15.6" x14ac:dyDescent="0.3">
      <c r="B5" s="24" t="s">
        <v>236</v>
      </c>
      <c r="C5" s="6">
        <f>(223437.4/266)*235</f>
        <v>197397.70300751881</v>
      </c>
      <c r="D5" s="17">
        <f>C5/235</f>
        <v>839.9902255639098</v>
      </c>
      <c r="E5" s="94"/>
      <c r="F5" s="94"/>
      <c r="G5" s="94"/>
      <c r="H5" s="147" t="s">
        <v>232</v>
      </c>
      <c r="I5" s="147"/>
      <c r="J5" s="147"/>
      <c r="K5" s="94"/>
      <c r="L5" s="147" t="s">
        <v>232</v>
      </c>
      <c r="M5" s="147"/>
      <c r="N5" s="147"/>
    </row>
    <row r="6" spans="2:14" ht="15.6" x14ac:dyDescent="0.3">
      <c r="B6" s="24" t="s">
        <v>237</v>
      </c>
      <c r="C6" s="6">
        <f>C4-C5</f>
        <v>47002.296992481191</v>
      </c>
      <c r="D6" s="17">
        <f>D4-D5</f>
        <v>200.0097744360902</v>
      </c>
      <c r="E6" s="94"/>
      <c r="F6" s="94"/>
      <c r="G6" s="94"/>
      <c r="H6" s="148" t="s">
        <v>222</v>
      </c>
      <c r="I6" s="148"/>
      <c r="J6" s="148"/>
      <c r="K6" s="94"/>
      <c r="L6" s="148" t="s">
        <v>222</v>
      </c>
      <c r="M6" s="148"/>
      <c r="N6" s="148"/>
    </row>
    <row r="7" spans="2:14" ht="15.6" x14ac:dyDescent="0.3">
      <c r="B7" s="20" t="s">
        <v>243</v>
      </c>
      <c r="C7" s="20"/>
      <c r="D7" s="5">
        <f>D6/D4</f>
        <v>0.19231709080393289</v>
      </c>
      <c r="E7" s="94"/>
      <c r="F7" s="94"/>
      <c r="G7" s="94"/>
      <c r="H7" s="20" t="s">
        <v>223</v>
      </c>
      <c r="I7" s="5" t="s">
        <v>238</v>
      </c>
      <c r="J7" s="5" t="s">
        <v>72</v>
      </c>
      <c r="K7" s="94"/>
      <c r="L7" s="20" t="s">
        <v>223</v>
      </c>
      <c r="M7" s="5" t="s">
        <v>238</v>
      </c>
      <c r="N7" s="5" t="s">
        <v>72</v>
      </c>
    </row>
    <row r="8" spans="2:14" ht="15.6" x14ac:dyDescent="0.3">
      <c r="B8" s="94"/>
      <c r="C8" s="94"/>
      <c r="D8" s="94"/>
      <c r="E8" s="94"/>
      <c r="F8" s="94"/>
      <c r="G8" s="94"/>
      <c r="H8" s="24" t="s">
        <v>224</v>
      </c>
      <c r="I8" s="18">
        <f>D4</f>
        <v>1040</v>
      </c>
      <c r="J8" s="105">
        <f>I8*(235-(235*0.1))</f>
        <v>219960</v>
      </c>
      <c r="K8" s="94"/>
      <c r="L8" s="24" t="s">
        <v>224</v>
      </c>
      <c r="M8" s="18">
        <f>D4</f>
        <v>1040</v>
      </c>
      <c r="N8" s="105">
        <f>M8*235</f>
        <v>244400</v>
      </c>
    </row>
    <row r="9" spans="2:14" ht="15.6" x14ac:dyDescent="0.3">
      <c r="B9" s="126" t="s">
        <v>239</v>
      </c>
      <c r="C9" s="126"/>
      <c r="D9" s="94"/>
      <c r="E9" s="94"/>
      <c r="F9" s="94"/>
      <c r="G9" s="94"/>
      <c r="H9" s="24" t="s">
        <v>233</v>
      </c>
      <c r="I9" s="18">
        <f>D5</f>
        <v>839.9902255639098</v>
      </c>
      <c r="J9" s="105">
        <f>I9*(235-(235*0.1))</f>
        <v>177657.93270676694</v>
      </c>
      <c r="K9" s="94"/>
      <c r="L9" s="24" t="s">
        <v>233</v>
      </c>
      <c r="M9" s="18">
        <f>(693.9*1.1)+120.3+(6860/266)</f>
        <v>909.37947368421055</v>
      </c>
      <c r="N9" s="105">
        <f>M9*235</f>
        <v>213704.17631578949</v>
      </c>
    </row>
    <row r="10" spans="2:14" ht="15.6" x14ac:dyDescent="0.3">
      <c r="B10" s="104" t="s">
        <v>223</v>
      </c>
      <c r="C10" s="104"/>
      <c r="D10" s="94"/>
      <c r="E10" s="94"/>
      <c r="F10" s="94"/>
      <c r="G10" s="94"/>
      <c r="H10" s="24" t="s">
        <v>237</v>
      </c>
      <c r="I10" s="18">
        <f>I8-I9</f>
        <v>200.0097744360902</v>
      </c>
      <c r="J10" s="105">
        <f>J8-J9</f>
        <v>42302.067293233064</v>
      </c>
      <c r="K10" s="94"/>
      <c r="L10" s="24" t="s">
        <v>237</v>
      </c>
      <c r="M10" s="18">
        <f>M8-M9</f>
        <v>130.62052631578945</v>
      </c>
      <c r="N10" s="105">
        <f>N8-N9</f>
        <v>30695.823684210511</v>
      </c>
    </row>
    <row r="11" spans="2:14" ht="15.6" x14ac:dyDescent="0.3">
      <c r="B11" s="19" t="s">
        <v>240</v>
      </c>
      <c r="C11" s="17">
        <v>27360</v>
      </c>
      <c r="D11" s="94"/>
      <c r="E11" s="94"/>
      <c r="F11" s="94"/>
      <c r="G11" s="94"/>
      <c r="H11" s="24" t="s">
        <v>235</v>
      </c>
      <c r="I11" s="18"/>
      <c r="J11" s="105">
        <f>C11</f>
        <v>27360</v>
      </c>
      <c r="K11" s="94"/>
      <c r="L11" s="24" t="s">
        <v>235</v>
      </c>
      <c r="M11" s="18"/>
      <c r="N11" s="105">
        <f>C11</f>
        <v>27360</v>
      </c>
    </row>
    <row r="12" spans="2:14" ht="15.6" x14ac:dyDescent="0.3">
      <c r="B12" s="19" t="s">
        <v>241</v>
      </c>
      <c r="C12" s="17">
        <f>D6</f>
        <v>200.0097744360902</v>
      </c>
      <c r="D12" s="94"/>
      <c r="E12" s="94"/>
      <c r="F12" s="94"/>
      <c r="G12" s="94"/>
      <c r="H12" s="24" t="s">
        <v>159</v>
      </c>
      <c r="I12" s="18"/>
      <c r="J12" s="105">
        <f>J10-J11</f>
        <v>14942.067293233064</v>
      </c>
      <c r="K12" s="94"/>
      <c r="L12" s="24" t="s">
        <v>159</v>
      </c>
      <c r="M12" s="18"/>
      <c r="N12" s="105">
        <f>N10-N11</f>
        <v>3335.8236842105107</v>
      </c>
    </row>
    <row r="13" spans="2:14" ht="15.6" x14ac:dyDescent="0.3">
      <c r="B13" s="19" t="s">
        <v>242</v>
      </c>
      <c r="C13" s="17">
        <f>C11/C12</f>
        <v>136.79331461244377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</row>
    <row r="14" spans="2:14" ht="15.6" x14ac:dyDescent="0.3">
      <c r="B14" s="19" t="s">
        <v>244</v>
      </c>
      <c r="C14" s="17">
        <f>C11/D7</f>
        <v>142265.04719694151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</row>
    <row r="15" spans="2:14" ht="15.6" x14ac:dyDescent="0.3">
      <c r="B15" s="94"/>
      <c r="C15" s="94"/>
      <c r="D15" s="94"/>
      <c r="E15" s="94"/>
      <c r="F15" s="94"/>
      <c r="G15" s="94"/>
      <c r="H15" s="129" t="s">
        <v>253</v>
      </c>
      <c r="I15" s="129"/>
      <c r="J15" s="129"/>
      <c r="K15" s="94"/>
      <c r="L15" s="94"/>
      <c r="M15" s="94"/>
      <c r="N15" s="94"/>
    </row>
    <row r="16" spans="2:14" ht="15.6" x14ac:dyDescent="0.3">
      <c r="B16" s="94"/>
      <c r="C16" s="94"/>
      <c r="D16" s="94"/>
      <c r="E16" s="94"/>
      <c r="F16" s="94"/>
      <c r="G16" s="94"/>
      <c r="H16" s="147" t="s">
        <v>232</v>
      </c>
      <c r="I16" s="147"/>
      <c r="J16" s="147"/>
      <c r="K16" s="94"/>
      <c r="L16" s="94"/>
      <c r="M16" s="94"/>
      <c r="N16" s="94"/>
    </row>
    <row r="17" spans="2:14" ht="15.6" x14ac:dyDescent="0.3">
      <c r="B17" s="126" t="s">
        <v>245</v>
      </c>
      <c r="C17" s="126"/>
      <c r="D17" s="94"/>
      <c r="E17" s="94"/>
      <c r="F17" s="94"/>
      <c r="G17" s="94"/>
      <c r="H17" s="148" t="s">
        <v>222</v>
      </c>
      <c r="I17" s="148"/>
      <c r="J17" s="148"/>
      <c r="K17" s="94"/>
      <c r="L17" s="94"/>
      <c r="M17" s="94"/>
      <c r="N17" s="94"/>
    </row>
    <row r="18" spans="2:14" ht="15.6" x14ac:dyDescent="0.3">
      <c r="B18" s="104" t="s">
        <v>223</v>
      </c>
      <c r="C18" s="104"/>
      <c r="D18" s="94"/>
      <c r="E18" s="94"/>
      <c r="F18" s="94"/>
      <c r="G18" s="94"/>
      <c r="H18" s="20" t="s">
        <v>223</v>
      </c>
      <c r="I18" s="5" t="s">
        <v>238</v>
      </c>
      <c r="J18" s="5" t="s">
        <v>72</v>
      </c>
      <c r="K18" s="94"/>
      <c r="L18" s="94"/>
      <c r="M18" s="94"/>
      <c r="N18" s="94"/>
    </row>
    <row r="19" spans="2:14" ht="15.6" x14ac:dyDescent="0.3">
      <c r="B19" s="19" t="s">
        <v>247</v>
      </c>
      <c r="C19" s="17">
        <f>266-C13</f>
        <v>129.20668538755623</v>
      </c>
      <c r="D19" s="94"/>
      <c r="E19" s="94"/>
      <c r="F19" s="94"/>
      <c r="G19" s="94"/>
      <c r="H19" s="24" t="s">
        <v>224</v>
      </c>
      <c r="I19" s="18">
        <f>D4</f>
        <v>1040</v>
      </c>
      <c r="J19" s="105">
        <f>I19*(235+(235*0.1))</f>
        <v>268840</v>
      </c>
      <c r="K19" s="94"/>
      <c r="L19" s="94"/>
      <c r="M19" s="94"/>
      <c r="N19" s="94"/>
    </row>
    <row r="20" spans="2:14" ht="15.6" x14ac:dyDescent="0.3">
      <c r="B20" s="19" t="s">
        <v>246</v>
      </c>
      <c r="C20" s="17">
        <f>C19*D4</f>
        <v>134374.95280305849</v>
      </c>
      <c r="D20" s="94"/>
      <c r="E20" s="94"/>
      <c r="F20" s="94"/>
      <c r="G20" s="94"/>
      <c r="H20" s="24" t="s">
        <v>233</v>
      </c>
      <c r="I20" s="18">
        <f>D5</f>
        <v>839.9902255639098</v>
      </c>
      <c r="J20" s="105">
        <f>I20*(235+(235*0.1))</f>
        <v>217137.47330827068</v>
      </c>
      <c r="K20" s="94"/>
      <c r="L20" s="94"/>
      <c r="M20" s="94"/>
      <c r="N20" s="94"/>
    </row>
    <row r="21" spans="2:14" ht="15.6" x14ac:dyDescent="0.3">
      <c r="B21" s="19" t="s">
        <v>248</v>
      </c>
      <c r="C21" s="17">
        <f>C19/D4</f>
        <v>0.12423719748803484</v>
      </c>
      <c r="D21" s="94"/>
      <c r="E21" s="94"/>
      <c r="F21" s="94"/>
      <c r="G21" s="94"/>
      <c r="H21" s="24" t="s">
        <v>237</v>
      </c>
      <c r="I21" s="18">
        <f>I19-I20</f>
        <v>200.0097744360902</v>
      </c>
      <c r="J21" s="105">
        <f>J19-J20</f>
        <v>51702.526691729319</v>
      </c>
      <c r="K21" s="94"/>
      <c r="L21" s="94"/>
      <c r="M21" s="94"/>
      <c r="N21" s="94"/>
    </row>
    <row r="22" spans="2:14" ht="15.6" x14ac:dyDescent="0.3">
      <c r="B22" s="94"/>
      <c r="C22" s="94"/>
      <c r="D22" s="94"/>
      <c r="E22" s="94"/>
      <c r="F22" s="94"/>
      <c r="G22" s="94"/>
      <c r="H22" s="24" t="s">
        <v>235</v>
      </c>
      <c r="I22" s="18"/>
      <c r="J22" s="105">
        <f>C11</f>
        <v>27360</v>
      </c>
      <c r="K22" s="94"/>
      <c r="L22" s="94"/>
      <c r="M22" s="94"/>
      <c r="N22" s="94"/>
    </row>
    <row r="23" spans="2:14" ht="15.6" x14ac:dyDescent="0.3">
      <c r="B23" s="94"/>
      <c r="C23" s="94"/>
      <c r="D23" s="94"/>
      <c r="E23" s="94"/>
      <c r="F23" s="94"/>
      <c r="G23" s="94"/>
      <c r="H23" s="24" t="s">
        <v>159</v>
      </c>
      <c r="I23" s="18"/>
      <c r="J23" s="105">
        <f>J21-J22</f>
        <v>24342.526691729319</v>
      </c>
      <c r="K23" s="94"/>
      <c r="L23" s="94"/>
      <c r="M23" s="94"/>
      <c r="N23" s="94"/>
    </row>
    <row r="24" spans="2:14" ht="15.6" x14ac:dyDescent="0.3">
      <c r="B24" s="126" t="s">
        <v>249</v>
      </c>
      <c r="C24" s="126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2:14" ht="15.6" x14ac:dyDescent="0.3">
      <c r="B25" s="104" t="s">
        <v>223</v>
      </c>
      <c r="C25" s="10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2:14" ht="15.6" x14ac:dyDescent="0.3">
      <c r="B26" s="19" t="s">
        <v>237</v>
      </c>
      <c r="C26" s="17">
        <f>C6</f>
        <v>47002.296992481191</v>
      </c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2:14" ht="15.6" x14ac:dyDescent="0.3">
      <c r="B27" s="19" t="s">
        <v>159</v>
      </c>
      <c r="C27" s="17">
        <f>C6-C11</f>
        <v>19642.296992481191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2:14" ht="15.6" x14ac:dyDescent="0.3">
      <c r="B28" s="19" t="s">
        <v>250</v>
      </c>
      <c r="C28" s="17">
        <f>C26/C27</f>
        <v>2.3929124486037985</v>
      </c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</sheetData>
  <mergeCells count="12">
    <mergeCell ref="H17:J17"/>
    <mergeCell ref="B9:C9"/>
    <mergeCell ref="B17:C17"/>
    <mergeCell ref="B24:C24"/>
    <mergeCell ref="H4:J4"/>
    <mergeCell ref="H5:J5"/>
    <mergeCell ref="H6:J6"/>
    <mergeCell ref="L4:N4"/>
    <mergeCell ref="L5:N5"/>
    <mergeCell ref="L6:N6"/>
    <mergeCell ref="H15:J15"/>
    <mergeCell ref="H16:J16"/>
  </mergeCells>
  <pageMargins left="0.7" right="0.7" top="0.75" bottom="0.75" header="0.3" footer="0.3"/>
  <ignoredErrors>
    <ignoredError sqref="J11 N11 J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DL, DM, MOH, S&amp;A</vt:lpstr>
      <vt:lpstr>Simple, ABC, &amp; NPM</vt:lpstr>
      <vt:lpstr>Master Budget</vt:lpstr>
      <vt:lpstr>Traditional &amp; Contribution IS</vt:lpstr>
      <vt:lpstr>BEP, MOS &amp; ETC.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Siddiqur</dc:creator>
  <cp:lastModifiedBy>Raisan Ahmed</cp:lastModifiedBy>
  <dcterms:created xsi:type="dcterms:W3CDTF">2015-06-05T18:17:20Z</dcterms:created>
  <dcterms:modified xsi:type="dcterms:W3CDTF">2025-04-15T15:51:58Z</dcterms:modified>
</cp:coreProperties>
</file>