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iaz\Desktop\"/>
    </mc:Choice>
  </mc:AlternateContent>
  <xr:revisionPtr revIDLastSave="0" documentId="13_ncr:1_{4A56ED23-91CC-4E19-90E6-48BC7DA00410}" xr6:coauthVersionLast="47" xr6:coauthVersionMax="47" xr10:uidLastSave="{00000000-0000-0000-0000-000000000000}"/>
  <bookViews>
    <workbookView xWindow="-120" yWindow="-120" windowWidth="29040" windowHeight="16440" tabRatio="872" firstSheet="1" activeTab="1" xr2:uid="{00000000-000D-0000-FFFF-FFFF00000000}"/>
  </bookViews>
  <sheets>
    <sheet name="Cover Page" sheetId="1" r:id="rId1"/>
    <sheet name="Return" sheetId="2" r:id="rId2"/>
    <sheet name="Tax and Rebate Calculation" sheetId="3" r:id="rId3"/>
    <sheet name="Sch1" sheetId="4" r:id="rId4"/>
    <sheet name="Workings Income from Employment" sheetId="5" r:id="rId5"/>
    <sheet name="Sch2-3" sheetId="6" r:id="rId6"/>
    <sheet name="Workings Income from Rent" sheetId="7" r:id="rId7"/>
    <sheet name="Workings Income from Agricultur" sheetId="8" r:id="rId8"/>
    <sheet name="Sch4-5" sheetId="9" r:id="rId9"/>
    <sheet name="Workings Income from Business" sheetId="10" r:id="rId10"/>
    <sheet name="Income from Financial Assets" sheetId="11" r:id="rId11"/>
    <sheet name="Income from Firm" sheetId="12" r:id="rId12"/>
    <sheet name="Income from Other Sources" sheetId="13" r:id="rId13"/>
    <sheet name="IT-10BB23" sheetId="14" r:id="rId14"/>
    <sheet name="IT-10B23" sheetId="15" r:id="rId15"/>
    <sheet name="Workings Lifestyle Expens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0" i="15" l="1"/>
  <c r="Q53" i="15"/>
  <c r="Q48" i="15"/>
  <c r="Q47" i="15"/>
  <c r="U42" i="15"/>
  <c r="U35" i="15"/>
  <c r="U28" i="15"/>
  <c r="U23" i="15"/>
  <c r="S88" i="2"/>
  <c r="T43" i="9"/>
  <c r="H19" i="3"/>
  <c r="H16" i="3"/>
  <c r="H12" i="3"/>
  <c r="H9" i="3"/>
  <c r="C36" i="3"/>
  <c r="C25" i="3"/>
  <c r="C3" i="3"/>
  <c r="X95" i="2"/>
  <c r="X58" i="2"/>
  <c r="T41" i="9"/>
  <c r="T23" i="9"/>
  <c r="T21" i="9"/>
  <c r="T16" i="9"/>
  <c r="T12" i="9"/>
  <c r="Q19" i="14"/>
  <c r="C7" i="16"/>
  <c r="C13" i="16" s="1"/>
  <c r="Q11" i="14"/>
  <c r="Q12" i="14"/>
  <c r="C5" i="13"/>
  <c r="C4" i="12"/>
  <c r="C14" i="11"/>
  <c r="C13" i="11"/>
  <c r="B12" i="11"/>
  <c r="B11" i="11"/>
  <c r="B8" i="11"/>
  <c r="B11" i="10"/>
  <c r="C13" i="10"/>
  <c r="C12" i="10"/>
  <c r="U39" i="6"/>
  <c r="U37" i="6"/>
  <c r="U36" i="6"/>
  <c r="U35" i="6"/>
  <c r="D23" i="8"/>
  <c r="V23" i="6"/>
  <c r="V22" i="6"/>
  <c r="V15" i="6"/>
  <c r="R21" i="6"/>
  <c r="R16" i="6"/>
  <c r="P36" i="4"/>
  <c r="P33" i="4"/>
  <c r="B32" i="5"/>
  <c r="P43" i="4" s="1"/>
  <c r="B25" i="5"/>
  <c r="B24" i="5"/>
  <c r="B22" i="5"/>
  <c r="C12" i="5"/>
  <c r="C5" i="5"/>
  <c r="C3" i="5"/>
  <c r="P32" i="4"/>
  <c r="O34" i="15"/>
  <c r="O33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G16" i="15"/>
  <c r="L5" i="15"/>
  <c r="Q17" i="14"/>
  <c r="Q16" i="14"/>
  <c r="Q13" i="14"/>
  <c r="A12" i="14"/>
  <c r="A13" i="14" s="1"/>
  <c r="A14" i="14" s="1"/>
  <c r="A15" i="14" s="1"/>
  <c r="A16" i="14" s="1"/>
  <c r="A17" i="14" s="1"/>
  <c r="A18" i="14" s="1"/>
  <c r="A19" i="14" s="1"/>
  <c r="G6" i="14"/>
  <c r="X64" i="2"/>
  <c r="C3" i="13"/>
  <c r="B7" i="11"/>
  <c r="B5" i="11"/>
  <c r="B4" i="11"/>
  <c r="B3" i="11"/>
  <c r="C9" i="11" s="1"/>
  <c r="T14" i="9"/>
  <c r="B4" i="10"/>
  <c r="C5" i="10" s="1"/>
  <c r="T49" i="9"/>
  <c r="T42" i="9"/>
  <c r="A41" i="9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T29" i="9"/>
  <c r="T27" i="9"/>
  <c r="A13" i="9"/>
  <c r="A14" i="9" s="1"/>
  <c r="A15" i="9" s="1"/>
  <c r="A16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G4" i="9"/>
  <c r="G34" i="9" s="1"/>
  <c r="D21" i="8"/>
  <c r="D15" i="8"/>
  <c r="C5" i="8"/>
  <c r="C3" i="8"/>
  <c r="C2" i="8"/>
  <c r="B8" i="7"/>
  <c r="B2" i="7"/>
  <c r="B4" i="7" s="1"/>
  <c r="R9" i="6" s="1"/>
  <c r="V14" i="6" s="1"/>
  <c r="R20" i="6"/>
  <c r="R17" i="6"/>
  <c r="R13" i="6"/>
  <c r="F10" i="6"/>
  <c r="F11" i="6" s="1"/>
  <c r="F12" i="6" s="1"/>
  <c r="F13" i="6" s="1"/>
  <c r="F14" i="6" s="1"/>
  <c r="F15" i="6" s="1"/>
  <c r="F22" i="6" s="1"/>
  <c r="F23" i="6" s="1"/>
  <c r="F24" i="6" s="1"/>
  <c r="G4" i="6"/>
  <c r="G29" i="6" s="1"/>
  <c r="B18" i="5"/>
  <c r="B17" i="5"/>
  <c r="B16" i="5"/>
  <c r="B15" i="5"/>
  <c r="B11" i="5"/>
  <c r="C11" i="5" s="1"/>
  <c r="C8" i="5"/>
  <c r="P40" i="4"/>
  <c r="C4" i="5"/>
  <c r="C2" i="5"/>
  <c r="P42" i="4"/>
  <c r="P37" i="4"/>
  <c r="P35" i="4"/>
  <c r="A33" i="4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C42" i="3"/>
  <c r="H22" i="3"/>
  <c r="H21" i="3"/>
  <c r="H20" i="3"/>
  <c r="D19" i="3"/>
  <c r="H18" i="3"/>
  <c r="D18" i="3"/>
  <c r="H17" i="3"/>
  <c r="D17" i="3"/>
  <c r="D16" i="3"/>
  <c r="D15" i="3"/>
  <c r="D14" i="3"/>
  <c r="B6" i="3"/>
  <c r="B5" i="3"/>
  <c r="N151" i="2"/>
  <c r="D151" i="2"/>
  <c r="P147" i="2"/>
  <c r="O143" i="2"/>
  <c r="X65" i="2"/>
  <c r="A59" i="2"/>
  <c r="A60" i="2" s="1"/>
  <c r="A61" i="2" s="1"/>
  <c r="A62" i="2" s="1"/>
  <c r="A63" i="2" s="1"/>
  <c r="A64" i="2" s="1"/>
  <c r="A65" i="2" s="1"/>
  <c r="A66" i="2" s="1"/>
  <c r="A67" i="2" s="1"/>
  <c r="A68" i="2" s="1"/>
  <c r="A72" i="2" s="1"/>
  <c r="A73" i="2" s="1"/>
  <c r="A74" i="2" s="1"/>
  <c r="A75" i="2" s="1"/>
  <c r="A76" i="2" s="1"/>
  <c r="A77" i="2" s="1"/>
  <c r="A79" i="2" s="1"/>
  <c r="A80" i="2" s="1"/>
  <c r="A88" i="2" s="1"/>
  <c r="A89" i="2" s="1"/>
  <c r="A90" i="2" s="1"/>
  <c r="A91" i="2" s="1"/>
  <c r="A92" i="2" s="1"/>
  <c r="A93" i="2" s="1"/>
  <c r="A95" i="2" s="1"/>
  <c r="AB54" i="2"/>
  <c r="O114" i="2" s="1"/>
  <c r="N149" i="2" s="1"/>
  <c r="AA54" i="2"/>
  <c r="N114" i="2" s="1"/>
  <c r="Z54" i="2"/>
  <c r="M114" i="2" s="1"/>
  <c r="T5" i="6" s="1"/>
  <c r="T30" i="6" s="1"/>
  <c r="Y54" i="2"/>
  <c r="L114" i="2" s="1"/>
  <c r="X54" i="2"/>
  <c r="K114" i="2" s="1"/>
  <c r="W54" i="2"/>
  <c r="J114" i="2" s="1"/>
  <c r="V54" i="2"/>
  <c r="I114" i="2" s="1"/>
  <c r="U54" i="2"/>
  <c r="H114" i="2" s="1"/>
  <c r="P5" i="9" s="1"/>
  <c r="N35" i="9" s="1"/>
  <c r="T54" i="2"/>
  <c r="G114" i="2" s="1"/>
  <c r="S54" i="2"/>
  <c r="F114" i="2" s="1"/>
  <c r="R54" i="2"/>
  <c r="E114" i="2" s="1"/>
  <c r="L5" i="6" s="1"/>
  <c r="L30" i="6" s="1"/>
  <c r="Q54" i="2"/>
  <c r="D114" i="2" s="1"/>
  <c r="G53" i="2"/>
  <c r="G28" i="4" s="1"/>
  <c r="C32" i="3" l="1"/>
  <c r="Q14" i="14"/>
  <c r="C6" i="3"/>
  <c r="B19" i="5"/>
  <c r="D8" i="8"/>
  <c r="D22" i="8"/>
  <c r="X63" i="2"/>
  <c r="Q5" i="9"/>
  <c r="O35" i="9" s="1"/>
  <c r="Q7" i="14"/>
  <c r="P5" i="6"/>
  <c r="P30" i="6" s="1"/>
  <c r="R5" i="9"/>
  <c r="P35" i="9" s="1"/>
  <c r="I149" i="2"/>
  <c r="R7" i="14"/>
  <c r="Q5" i="6"/>
  <c r="Q30" i="6" s="1"/>
  <c r="T44" i="4"/>
  <c r="B23" i="5"/>
  <c r="B27" i="5" s="1"/>
  <c r="T45" i="4" s="1"/>
  <c r="Q21" i="15" s="1"/>
  <c r="T7" i="14"/>
  <c r="S5" i="6"/>
  <c r="S30" i="6" s="1"/>
  <c r="T5" i="9"/>
  <c r="R35" i="9" s="1"/>
  <c r="K149" i="2"/>
  <c r="W5" i="9"/>
  <c r="U35" i="9" s="1"/>
  <c r="W7" i="14"/>
  <c r="V5" i="6"/>
  <c r="V30" i="6" s="1"/>
  <c r="L7" i="14"/>
  <c r="K5" i="6"/>
  <c r="K30" i="6" s="1"/>
  <c r="L5" i="9"/>
  <c r="J35" i="9" s="1"/>
  <c r="C149" i="2"/>
  <c r="C110" i="2"/>
  <c r="M5" i="6"/>
  <c r="M30" i="6" s="1"/>
  <c r="N5" i="9"/>
  <c r="L35" i="9" s="1"/>
  <c r="E149" i="2"/>
  <c r="N7" i="14"/>
  <c r="U5" i="6"/>
  <c r="U30" i="6" s="1"/>
  <c r="V5" i="9"/>
  <c r="T35" i="9" s="1"/>
  <c r="M149" i="2"/>
  <c r="V7" i="14"/>
  <c r="C26" i="3"/>
  <c r="C28" i="3" s="1"/>
  <c r="T45" i="9"/>
  <c r="Q52" i="15" s="1"/>
  <c r="U54" i="15" s="1"/>
  <c r="U65" i="15" s="1"/>
  <c r="S7" i="14"/>
  <c r="R5" i="6"/>
  <c r="R30" i="6" s="1"/>
  <c r="J149" i="2"/>
  <c r="S5" i="9"/>
  <c r="Q35" i="9" s="1"/>
  <c r="O5" i="9"/>
  <c r="M35" i="9" s="1"/>
  <c r="O7" i="14"/>
  <c r="N5" i="6"/>
  <c r="N30" i="6" s="1"/>
  <c r="F149" i="2"/>
  <c r="C7" i="10"/>
  <c r="H149" i="2"/>
  <c r="M7" i="14"/>
  <c r="U7" i="14"/>
  <c r="O5" i="6"/>
  <c r="O30" i="6" s="1"/>
  <c r="D149" i="2"/>
  <c r="L149" i="2"/>
  <c r="M5" i="9"/>
  <c r="K35" i="9" s="1"/>
  <c r="U5" i="9"/>
  <c r="S35" i="9" s="1"/>
  <c r="P7" i="14"/>
  <c r="G149" i="2"/>
  <c r="T46" i="4" l="1"/>
  <c r="X60" i="2"/>
  <c r="G145" i="2"/>
  <c r="Q125" i="2"/>
  <c r="C33" i="3"/>
  <c r="H23" i="3"/>
  <c r="C45" i="3" s="1"/>
  <c r="T13" i="9"/>
  <c r="X61" i="2" s="1"/>
  <c r="X59" i="2"/>
  <c r="T50" i="9"/>
  <c r="T51" i="9" s="1"/>
  <c r="X68" i="2" l="1"/>
  <c r="X75" i="2"/>
  <c r="C39" i="3"/>
  <c r="Q20" i="15" l="1"/>
  <c r="C7" i="3"/>
  <c r="B20" i="3" s="1"/>
  <c r="U25" i="15"/>
  <c r="U29" i="15" s="1"/>
  <c r="H153" i="2"/>
  <c r="Q18" i="14"/>
  <c r="Q20" i="14" s="1"/>
  <c r="Q26" i="15" l="1"/>
  <c r="S77" i="2" s="1"/>
  <c r="X77" i="2" s="1"/>
  <c r="B21" i="3"/>
  <c r="C37" i="3" s="1"/>
  <c r="D20" i="3"/>
  <c r="D21" i="3" s="1"/>
  <c r="X72" i="2" s="1"/>
  <c r="X73" i="2" l="1"/>
  <c r="C38" i="3"/>
  <c r="C40" i="3" s="1"/>
  <c r="C47" i="3" s="1"/>
  <c r="U36" i="15"/>
  <c r="X74" i="2" l="1"/>
  <c r="X76" i="2" s="1"/>
  <c r="X80" i="2" s="1"/>
  <c r="S91" i="2" s="1"/>
  <c r="S92" i="2" s="1"/>
  <c r="H155" i="2" s="1"/>
  <c r="S93" i="2" l="1"/>
</calcChain>
</file>

<file path=xl/sharedStrings.xml><?xml version="1.0" encoding="utf-8"?>
<sst xmlns="http://schemas.openxmlformats.org/spreadsheetml/2006/main" count="577" uniqueCount="454">
  <si>
    <t>Group Assignment</t>
  </si>
  <si>
    <t>Full-Time Faculty, Lecturer</t>
  </si>
  <si>
    <t>North South University</t>
  </si>
  <si>
    <t>Submitted By</t>
  </si>
  <si>
    <t>Name</t>
  </si>
  <si>
    <t>ID</t>
  </si>
  <si>
    <t>Serial</t>
  </si>
  <si>
    <t>National Board of Revenue</t>
  </si>
  <si>
    <t>www.nbr.gov.bd</t>
  </si>
  <si>
    <t>IT-11GA 2023</t>
  </si>
  <si>
    <t>For office use</t>
  </si>
  <si>
    <t>Serial no. in return register</t>
  </si>
  <si>
    <t>Return of Income</t>
  </si>
  <si>
    <t>Column no. in return register</t>
  </si>
  <si>
    <t>For Individual  &amp; Other Assessee (without Company)</t>
  </si>
  <si>
    <t>Date of return submission</t>
  </si>
  <si>
    <t>Name of the Assessee:</t>
  </si>
  <si>
    <t>Samiul Bashar</t>
  </si>
  <si>
    <t>National Identification Number/Passport Number (If no NID):</t>
  </si>
  <si>
    <t xml:space="preserve">TIN: </t>
  </si>
  <si>
    <t>-</t>
  </si>
  <si>
    <t>(a) Circle:</t>
  </si>
  <si>
    <t>(b) Tax Zone:</t>
  </si>
  <si>
    <t>Asssessment Year:</t>
  </si>
  <si>
    <t>Resident Status:</t>
  </si>
  <si>
    <t xml:space="preserve">Resident  </t>
  </si>
  <si>
    <t>✔️</t>
  </si>
  <si>
    <t>Non-resident</t>
  </si>
  <si>
    <t>Tax payer Status (tick one) :</t>
  </si>
  <si>
    <t>Individual</t>
  </si>
  <si>
    <t>Firm</t>
  </si>
  <si>
    <t>Hindu Undivided Family</t>
  </si>
  <si>
    <t>Other</t>
  </si>
  <si>
    <t xml:space="preserve">Tick on the box below for getting special benefit: </t>
  </si>
  <si>
    <t xml:space="preserve">A gazetted war-wounded freedom fighter </t>
  </si>
  <si>
    <t>Female</t>
  </si>
  <si>
    <t>Third Gender</t>
  </si>
  <si>
    <t>Disabled person</t>
  </si>
  <si>
    <t>Aged 65 years or more</t>
  </si>
  <si>
    <t xml:space="preserve">A parent or legal guardian of a person with disability </t>
  </si>
  <si>
    <t xml:space="preserve">Date of birth (DDMMYYYY)  </t>
  </si>
  <si>
    <t>Name of Spouse:</t>
  </si>
  <si>
    <t>TIN if spouse is an Assessee:</t>
  </si>
  <si>
    <t>Address:</t>
  </si>
  <si>
    <t>Telephone:</t>
  </si>
  <si>
    <t>Mobile:</t>
  </si>
  <si>
    <t>e-mail:</t>
  </si>
  <si>
    <t>If employed, employer’s name (Latest employer's name in case of multiple employment):</t>
  </si>
  <si>
    <t>(a) Name of Organizaion:</t>
  </si>
  <si>
    <t>Uncharted Ltd.</t>
  </si>
  <si>
    <t>(b) Business Identification Number (BIN):</t>
  </si>
  <si>
    <t>Name &amp; TIN of Partners/Members in case of Frim/Association of person (If needed, please use separate sheet):</t>
  </si>
  <si>
    <t>Particulars of Income and Tax during the income year ended on</t>
  </si>
  <si>
    <t>TIN:</t>
  </si>
  <si>
    <t xml:space="preserve">Particulars of Total Income  </t>
  </si>
  <si>
    <t xml:space="preserve">   Amount   ৳</t>
  </si>
  <si>
    <t xml:space="preserve">Income from Salaries (annex Schedule 1)   </t>
  </si>
  <si>
    <t xml:space="preserve">Income from Rent (annex Schedule 2)   </t>
  </si>
  <si>
    <t xml:space="preserve">Agricultural income (annex Schedule 3)   </t>
  </si>
  <si>
    <t xml:space="preserve">Income from business (annex Schedule 4)   </t>
  </si>
  <si>
    <t xml:space="preserve">Capital gains </t>
  </si>
  <si>
    <t>Income from Financial Assets (Bank interest/profit, Dividend, Securities etc.)</t>
  </si>
  <si>
    <t>Income from other sources (Royalty, License fee, Honorarium, Fees, Govt. Incentive etc.)</t>
  </si>
  <si>
    <t xml:space="preserve">Share of income from firm or AOP   </t>
  </si>
  <si>
    <t xml:space="preserve">Income of minor or spouse under section (if not assessee)    </t>
  </si>
  <si>
    <t xml:space="preserve"> Foreign income    </t>
  </si>
  <si>
    <t xml:space="preserve">Total income (aggregate of 1 to 10)   </t>
  </si>
  <si>
    <t>Tax Computation</t>
  </si>
  <si>
    <t>Amount  ৳</t>
  </si>
  <si>
    <t xml:space="preserve">Gross tax on taxable Income </t>
  </si>
  <si>
    <t xml:space="preserve">Tax rebate (annex Schedule 5)  </t>
  </si>
  <si>
    <t>Net tax after tax rebate (12-13)</t>
  </si>
  <si>
    <t xml:space="preserve">Minimum tax </t>
  </si>
  <si>
    <t>Tax Payable (Higher of 14 and 15)</t>
  </si>
  <si>
    <t>(a) Net wealth surcharge (if applicable)</t>
  </si>
  <si>
    <t>(b) Environmental surcharge (if applicable)</t>
  </si>
  <si>
    <t xml:space="preserve">Delay Interest, Penalty or any other amount under the Income Tax Act (if any)  </t>
  </si>
  <si>
    <t>Total amount payable (16+17+18)</t>
  </si>
  <si>
    <t>Particulars of Tax Payment</t>
  </si>
  <si>
    <t>Tax deducted or collected at source (attach proof)</t>
  </si>
  <si>
    <t>Advance tax paid (attach proof)</t>
  </si>
  <si>
    <t xml:space="preserve">Adjustment of tax refund [mention assessment year(s) of refund]  </t>
  </si>
  <si>
    <t>Amount paid with return (attach proof)</t>
  </si>
  <si>
    <t xml:space="preserve">Total amount paid and adjusted (20+21+22+23)  </t>
  </si>
  <si>
    <t>Deficit or excess</t>
  </si>
  <si>
    <t>Tax exempted/Tax free income (attach particulars)</t>
  </si>
  <si>
    <t>List of documents furnished with this Return</t>
  </si>
  <si>
    <t>Verification</t>
  </si>
  <si>
    <t>I,</t>
  </si>
  <si>
    <t>Father/Husband,</t>
  </si>
  <si>
    <t xml:space="preserve">solemnly declare that to the best of my knowledge and belief the information given in this return and statements and documents annexed or attached herewith are correct and complete. </t>
  </si>
  <si>
    <t>Place:</t>
  </si>
  <si>
    <t xml:space="preserve">Signature </t>
  </si>
  <si>
    <t>Date:</t>
  </si>
  <si>
    <t>Designatiom &amp; Seal (for other than individual)</t>
  </si>
  <si>
    <t>People's Republic of Bangladesh</t>
  </si>
  <si>
    <t>(Income Tax Office)</t>
  </si>
  <si>
    <t>Acknowledgement Receipt/ Certificate of Return Of Income</t>
  </si>
  <si>
    <t>Assessment Year:</t>
  </si>
  <si>
    <t xml:space="preserve">Name of the Assessee: </t>
  </si>
  <si>
    <t>Circle :</t>
  </si>
  <si>
    <t>Tax Zone :</t>
  </si>
  <si>
    <t>Total income shown</t>
  </si>
  <si>
    <t xml:space="preserve"> ৳</t>
  </si>
  <si>
    <t>Total tax paid</t>
  </si>
  <si>
    <t>Volumn no. in return register</t>
  </si>
  <si>
    <t>Seal of Tax Office</t>
  </si>
  <si>
    <t xml:space="preserve">Signature and seal of the official receiving the return </t>
  </si>
  <si>
    <t>Tax Calculation</t>
  </si>
  <si>
    <t>Workings: Net Taxable Income</t>
  </si>
  <si>
    <t>Amount</t>
  </si>
  <si>
    <t>Total Taxable Income</t>
  </si>
  <si>
    <t>Less:Reduced Tax Rate Income/Final Tax Liability</t>
  </si>
  <si>
    <t>Workings: Allowable Investments</t>
  </si>
  <si>
    <t xml:space="preserve">Interest on 3-monthly Shanchaypatra </t>
  </si>
  <si>
    <t>Contribution to DPS (Max allowed Tk. 120,000)</t>
  </si>
  <si>
    <t>Interest on 5year's Bangladesh Shanchaypatra</t>
  </si>
  <si>
    <t>Purchase of Primary Share</t>
  </si>
  <si>
    <t>Net Taxable Income</t>
  </si>
  <si>
    <t>Purchase of Secondary Share</t>
  </si>
  <si>
    <t>Purchase of Debenture</t>
  </si>
  <si>
    <t>Employer and Employee's contribution to RPF</t>
  </si>
  <si>
    <t>Purchase of 5 year's Shanchaypatra</t>
  </si>
  <si>
    <t>Donation to President's relief fund</t>
  </si>
  <si>
    <t>Total Allowable Investments</t>
  </si>
  <si>
    <t>Workings: Gross Tax Liability</t>
  </si>
  <si>
    <t>Income</t>
  </si>
  <si>
    <t>Tax Rate</t>
  </si>
  <si>
    <t>Tax</t>
  </si>
  <si>
    <t>On first Tk. 350,000</t>
  </si>
  <si>
    <t>Next Tk. 100,000</t>
  </si>
  <si>
    <t>Workings: Taxes Deducted at Source</t>
  </si>
  <si>
    <t>Next Tk. 400,000</t>
  </si>
  <si>
    <t>Dividend Paid</t>
  </si>
  <si>
    <t>Next Tk. 500,000</t>
  </si>
  <si>
    <t>Interest on Fixed Deposit</t>
  </si>
  <si>
    <t>Interest on Post Office Savings Bank</t>
  </si>
  <si>
    <t>Next Tk. 2,000,000</t>
  </si>
  <si>
    <t>Interest on Debenture</t>
  </si>
  <si>
    <t>Rest Amount</t>
  </si>
  <si>
    <t>Prize of winning prize bond lottery</t>
  </si>
  <si>
    <t>Total Gross Tax</t>
  </si>
  <si>
    <t>Interest on 3-monthly Profit Bearing Shanchaypatra</t>
  </si>
  <si>
    <t>Interest on 5 years Bangladesh Shanchaypatra</t>
  </si>
  <si>
    <t>Total TDS</t>
  </si>
  <si>
    <t>Tax Rebate Calculation</t>
  </si>
  <si>
    <t>(A) 3% of Net Taxable Income</t>
  </si>
  <si>
    <t xml:space="preserve">Lower of A,B and C </t>
  </si>
  <si>
    <t>(B) 15% of Allowable Investments</t>
  </si>
  <si>
    <t>(C) Tk. 1,000,000</t>
  </si>
  <si>
    <t>Tax Rebate</t>
  </si>
  <si>
    <t>Minimum Tax Comparison</t>
  </si>
  <si>
    <t>(A) Assessee living in Dhaka Citicorporation</t>
  </si>
  <si>
    <t>Higher of A and B</t>
  </si>
  <si>
    <t>(B)Minimum Taxes Deducted at Source</t>
  </si>
  <si>
    <t>Minimum Tax</t>
  </si>
  <si>
    <t xml:space="preserve">Tax Liability Calculation </t>
  </si>
  <si>
    <t>Gross Tax Liability before Tax Rebate</t>
  </si>
  <si>
    <t>(-)Tax Rebate</t>
  </si>
  <si>
    <t>Net Tax after Tax Rebate</t>
  </si>
  <si>
    <t>Higher of Net Tax after Tax Rebate and Minimum Tax</t>
  </si>
  <si>
    <t>Surcharges</t>
  </si>
  <si>
    <t xml:space="preserve">Wealth Surcharge             </t>
  </si>
  <si>
    <t>Environmental Surcharge</t>
  </si>
  <si>
    <t>Less: Taxes Paid</t>
  </si>
  <si>
    <t xml:space="preserve">   Taxes Deducted at Source</t>
  </si>
  <si>
    <t>Advanced Income Tax</t>
  </si>
  <si>
    <t>Total Tax Liability</t>
  </si>
  <si>
    <t>Schedule 1</t>
  </si>
  <si>
    <t>Particulars of income from Salaries</t>
  </si>
  <si>
    <t>a. This part is applicable for employees receiving Salary under Govt. pay scale</t>
  </si>
  <si>
    <t>Sl.</t>
  </si>
  <si>
    <t>Particulars</t>
  </si>
  <si>
    <t>Income  ৳</t>
  </si>
  <si>
    <t>Tax exempted Income  ৳
(B)</t>
  </si>
  <si>
    <t>Taxable Income  ৳</t>
  </si>
  <si>
    <t>Basic pay</t>
  </si>
  <si>
    <t>Arrear pay (if not included in taxable income earlier)</t>
  </si>
  <si>
    <t>Special allowance</t>
  </si>
  <si>
    <t>House rent allowance</t>
  </si>
  <si>
    <t>Medical allowance</t>
  </si>
  <si>
    <t>Conveyance allowance</t>
  </si>
  <si>
    <t>Festival Allowance</t>
  </si>
  <si>
    <t>Allowance for support staff</t>
  </si>
  <si>
    <t>Leave allowance</t>
  </si>
  <si>
    <t>Honorarium/ Reward/Fee</t>
  </si>
  <si>
    <t>Overtime allowance</t>
  </si>
  <si>
    <t>Baishakhi Allowance</t>
  </si>
  <si>
    <t>Interest accrued on provident fund</t>
  </si>
  <si>
    <t>Lamp grant</t>
  </si>
  <si>
    <t>Gratuity</t>
  </si>
  <si>
    <t>Others, if any</t>
  </si>
  <si>
    <t xml:space="preserve">Total </t>
  </si>
  <si>
    <t>b. This part is applicable for employees other than employees receiving Salary under Govt. pay scale</t>
  </si>
  <si>
    <t>Allowances</t>
  </si>
  <si>
    <t>Advance / Arrear Salary</t>
  </si>
  <si>
    <t>Gratuity, Annuity, Pension or similar benefits</t>
  </si>
  <si>
    <t>Perquisites</t>
  </si>
  <si>
    <t xml:space="preserve">Receipt in lieu of or in addition to salary or wages													
</t>
  </si>
  <si>
    <t>Income from Employees' share scheme</t>
  </si>
  <si>
    <t>Accomodation benefits</t>
  </si>
  <si>
    <t>Car benefits</t>
  </si>
  <si>
    <t>Any other benefits provided by employer</t>
  </si>
  <si>
    <t>Employer's contribution to recognized provident fund</t>
  </si>
  <si>
    <t>Others</t>
  </si>
  <si>
    <t xml:space="preserve">Total salary income (aggregate of 1 to 12)   </t>
  </si>
  <si>
    <t>Exempted Salary (As per 6th schedule Part 1)</t>
  </si>
  <si>
    <t>Total Income from Salary (13-14)</t>
  </si>
  <si>
    <t>Workings: Income from Salary</t>
  </si>
  <si>
    <t>Basic Salary</t>
  </si>
  <si>
    <t>Festival Bonuses</t>
  </si>
  <si>
    <t>Car Benefits</t>
  </si>
  <si>
    <t>Compensation from previous employer</t>
  </si>
  <si>
    <t>Interest on RPF</t>
  </si>
  <si>
    <t>Employer's Contribution to RPF</t>
  </si>
  <si>
    <t>Commission</t>
  </si>
  <si>
    <t>Gratuity (Exempted upto 2.5 crore)</t>
  </si>
  <si>
    <t>-Exempted</t>
  </si>
  <si>
    <t>Total Receipts from Salary</t>
  </si>
  <si>
    <t>Workings: Perquisites</t>
  </si>
  <si>
    <t>Dearness Allowance</t>
  </si>
  <si>
    <t>Entertainment allowance</t>
  </si>
  <si>
    <t>Total Perquisites</t>
  </si>
  <si>
    <t>Workings: Exempted Salary</t>
  </si>
  <si>
    <t>1/3 of Total receipts</t>
  </si>
  <si>
    <t>Interest from RPF</t>
  </si>
  <si>
    <t>Medical Allowance for kidney surgery</t>
  </si>
  <si>
    <t>Exempted salary</t>
  </si>
  <si>
    <t>Workings: Others</t>
  </si>
  <si>
    <t xml:space="preserve">Commission </t>
  </si>
  <si>
    <t>Total</t>
  </si>
  <si>
    <t>Schedule 2</t>
  </si>
  <si>
    <t>(Annex this Schedule to the return of income if you have income from house property)</t>
  </si>
  <si>
    <t>Location and Description of property</t>
  </si>
  <si>
    <t>Total Rent Income Computation</t>
  </si>
  <si>
    <t>Rent receipt or Annual Value (whichever is higher)</t>
  </si>
  <si>
    <t>Advance rent receipts</t>
  </si>
  <si>
    <t>Value of any benefits (in addition to 1 &amp; 2)</t>
  </si>
  <si>
    <t>Adjusted advance rent</t>
  </si>
  <si>
    <t>Vacancy Allowance</t>
  </si>
  <si>
    <t>Total Rent Income (1+2+3)-4-5</t>
  </si>
  <si>
    <t>Allowable Deductions</t>
  </si>
  <si>
    <t>(a)</t>
  </si>
  <si>
    <t>Repair, Collection, etc.</t>
  </si>
  <si>
    <t>(b)</t>
  </si>
  <si>
    <t>Municipal or Local Tax</t>
  </si>
  <si>
    <t>(c)</t>
  </si>
  <si>
    <t>Land Revenue</t>
  </si>
  <si>
    <t>(d)</t>
  </si>
  <si>
    <t>Interest on Loan/Mortgage/Capital Charge</t>
  </si>
  <si>
    <t>(e)</t>
  </si>
  <si>
    <t>Insurance Premium</t>
  </si>
  <si>
    <t>(f)</t>
  </si>
  <si>
    <t>Other, if any</t>
  </si>
  <si>
    <t>Total Admissible deductions</t>
  </si>
  <si>
    <t>Income from house property (06-08)</t>
  </si>
  <si>
    <t>Incase of partial ownership, the share of income</t>
  </si>
  <si>
    <t>Schedule 3</t>
  </si>
  <si>
    <t>(This part is applicable for Agricultural income)</t>
  </si>
  <si>
    <t>Nature of Agriculture:</t>
  </si>
  <si>
    <t>Summary of Income</t>
  </si>
  <si>
    <t>Sale/Turnover/Receipts</t>
  </si>
  <si>
    <t>Gross Profit</t>
  </si>
  <si>
    <t>General Expenses, Selling Expenses, Land Revenue, Rates, Interest of Loan, Insurance Premium and Other expenses</t>
  </si>
  <si>
    <t>Net profit (2 minus 3)</t>
  </si>
  <si>
    <t>Workings: Annual Rent Calculation</t>
  </si>
  <si>
    <t>Actual Rent</t>
  </si>
  <si>
    <t>Municipal Value</t>
  </si>
  <si>
    <t>Higher of Actual Rental Value and Municipal Value</t>
  </si>
  <si>
    <t>Workings: Vacancy</t>
  </si>
  <si>
    <t>Per Month Rent</t>
  </si>
  <si>
    <t xml:space="preserve">Others </t>
  </si>
  <si>
    <t>Ground Rent</t>
  </si>
  <si>
    <t>Income From Agriculture</t>
  </si>
  <si>
    <t>Sale of Rice</t>
  </si>
  <si>
    <t>Sale of Jute</t>
  </si>
  <si>
    <t>Sale of Rabi Crops</t>
  </si>
  <si>
    <t>Sale of Tea</t>
  </si>
  <si>
    <t>Income from Borga</t>
  </si>
  <si>
    <t>Lease on Agricultural Land</t>
  </si>
  <si>
    <t>Total Receipts</t>
  </si>
  <si>
    <t>Admissable Expenses</t>
  </si>
  <si>
    <t>Cost of seeds and fertilizers</t>
  </si>
  <si>
    <t>Cultivation Cost</t>
  </si>
  <si>
    <t>Transportation Cost</t>
  </si>
  <si>
    <t>Processing Cost</t>
  </si>
  <si>
    <t>Total Production Cost</t>
  </si>
  <si>
    <t>Land Revenue Paid</t>
  </si>
  <si>
    <t>Union Parisad Tax</t>
  </si>
  <si>
    <t>Crop Insurance Premium</t>
  </si>
  <si>
    <t>Allowable Depreciation</t>
  </si>
  <si>
    <t>Interest on Borrowed Fund</t>
  </si>
  <si>
    <t>General Expenses</t>
  </si>
  <si>
    <t>Total Admissable Expenses</t>
  </si>
  <si>
    <t>Total Income from Agriculture</t>
  </si>
  <si>
    <t>Schedule 4</t>
  </si>
  <si>
    <t>(To be annexed to return by an assessee having income from business or profession)</t>
  </si>
  <si>
    <t>Name of Business/Profession:</t>
  </si>
  <si>
    <t>Nature of Business/Profession:</t>
  </si>
  <si>
    <t>General, Administrative, Selling and Other expenses</t>
  </si>
  <si>
    <t>Bad debt expense</t>
  </si>
  <si>
    <t>Net profit (2-3-4)</t>
  </si>
  <si>
    <t>Summary of Balance Sheet</t>
  </si>
  <si>
    <t>Cash and Bank balance</t>
  </si>
  <si>
    <t>Inventory</t>
  </si>
  <si>
    <t>Fixed Assets</t>
  </si>
  <si>
    <t>Other Assets</t>
  </si>
  <si>
    <t>Total Assets</t>
  </si>
  <si>
    <t>Opening Capital</t>
  </si>
  <si>
    <t>Net profit</t>
  </si>
  <si>
    <t>Drawing during the income year</t>
  </si>
  <si>
    <t>Closing Capital (11+12-13)</t>
  </si>
  <si>
    <t>Liabilities</t>
  </si>
  <si>
    <t>Total Capital &amp; Liabilities</t>
  </si>
  <si>
    <t>Schedule 5</t>
  </si>
  <si>
    <t>To be annexed to return by an assessee claiming investment tax credit (attach proof)</t>
  </si>
  <si>
    <t>Particulars of rebatable investment, contribution, etc.</t>
  </si>
  <si>
    <t>Particulars of Income</t>
  </si>
  <si>
    <t xml:space="preserve">Life insurance premium or Contractual "Deferred Annuity" paid in Bangladesh </t>
  </si>
  <si>
    <t>Contribution to deposit pension/Monthly Saving scheme (not exceeding allowable limit)</t>
  </si>
  <si>
    <t>Investment in Govt. securities, Unit certificate, Mutual fund, ETF or Joint investment scheme Unit certificate</t>
  </si>
  <si>
    <t>Investment in securities listed with approved Stock Exchange</t>
  </si>
  <si>
    <t>Contribution to provident fund to which Provident Fund  Act, 1925 applies</t>
  </si>
  <si>
    <t>Self contribution and employer’s contribution to Recognized Provident Fund</t>
  </si>
  <si>
    <t>Contribution to approved Pension Fund</t>
  </si>
  <si>
    <t>Contribution to Benevolent Fund and Group Insurance Premium</t>
  </si>
  <si>
    <t>Contribution to Zakat Fund</t>
  </si>
  <si>
    <t>Others, if any  (Donation to President's Relief Fund)</t>
  </si>
  <si>
    <t xml:space="preserve">Total invetment (aggregate of 1 to 10)   </t>
  </si>
  <si>
    <t>Amount of Tax Rebate</t>
  </si>
  <si>
    <t>Workings: Income from Business</t>
  </si>
  <si>
    <t>Sales Receipts</t>
  </si>
  <si>
    <t>Cost of Goods Sold</t>
  </si>
  <si>
    <t>Expenses</t>
  </si>
  <si>
    <t xml:space="preserve">Salary </t>
  </si>
  <si>
    <t>Utility bill, Store Rent &amp; Transportation Cost</t>
  </si>
  <si>
    <t>Depreciation on Furniture @10% on WDV</t>
  </si>
  <si>
    <t>Total Expenses</t>
  </si>
  <si>
    <t>Net Profit</t>
  </si>
  <si>
    <t>Fixed Asset</t>
  </si>
  <si>
    <t>Furniture</t>
  </si>
  <si>
    <t>Workings</t>
  </si>
  <si>
    <t>Dividend Received</t>
  </si>
  <si>
    <t>Interest on 5 year's Bangladesh Shanchaypatra</t>
  </si>
  <si>
    <t>Interest on loan taken for debenture</t>
  </si>
  <si>
    <t>Bank Charge</t>
  </si>
  <si>
    <t>Total Allowable Deductions</t>
  </si>
  <si>
    <t>Total Income from Financial Assets</t>
  </si>
  <si>
    <t>Profit From Partnership Firm</t>
  </si>
  <si>
    <t>Ownership 1/2</t>
  </si>
  <si>
    <t>Total Income from Firm</t>
  </si>
  <si>
    <t xml:space="preserve">Unexplained purchase of jewelry </t>
  </si>
  <si>
    <t>Total Income from Other Sources</t>
  </si>
  <si>
    <t>IT-10 BB (2023)</t>
  </si>
  <si>
    <t xml:space="preserve">Statement of expenses relating to Lifestyle </t>
  </si>
  <si>
    <t>(applicable for all Individual Assessee)</t>
  </si>
  <si>
    <t>Particulars of Expenses (Annual)</t>
  </si>
  <si>
    <t>Comments</t>
  </si>
  <si>
    <t>Expenses for food, clothing and other essentials</t>
  </si>
  <si>
    <t>Housing expense</t>
  </si>
  <si>
    <t>Personal Transport Expenses</t>
  </si>
  <si>
    <t>Utility expenses (Electric bill, Gas, Water, Telephone, Mobile, Internet etc.)</t>
  </si>
  <si>
    <t>Education Expenses</t>
  </si>
  <si>
    <t>Personal Expenses for local &amp; foreign travel, vacation etc.</t>
  </si>
  <si>
    <t>Festival and Other special expenses</t>
  </si>
  <si>
    <t>Tax deducted/collected at source (with tax deducted from profit of saving certificate) and tax &amp; surcharge paid based on last year tax return)</t>
  </si>
  <si>
    <t>Interest paid on personal loan received from Institution &amp; other source</t>
  </si>
  <si>
    <t xml:space="preserve">I declare that to the best of my knowledge and belief the information given in this IT-10BB (2023) herewith are correct and complete. </t>
  </si>
  <si>
    <t>Signature and date</t>
  </si>
  <si>
    <t>IT-10 B (2023)</t>
  </si>
  <si>
    <t xml:space="preserve">Statement of Assets, Liabilities and Expenses </t>
  </si>
  <si>
    <t>as on….</t>
  </si>
  <si>
    <t>To Whom It May Concern</t>
  </si>
  <si>
    <t>All Public Servant</t>
  </si>
  <si>
    <t>If the amount of total asset in home and abroad exceeds Taka 40,00,000.</t>
  </si>
  <si>
    <t>The amount of total asset does not exceed Taka 40,00,000 but owns a motor car in any time or has made an investment in a house property or an apartment in the city corporation area or owns assets outside Bangladesh or being a shareholder director of a company.</t>
  </si>
  <si>
    <t>Every individual assessee, being a non-resident Bangladeshi and individual assessee, being a non-Bangladeshi, shall submit the statement only in respect of assets located in Bangladesh.</t>
  </si>
  <si>
    <t>Sources of fund:</t>
  </si>
  <si>
    <t>Amount (Tk)</t>
  </si>
  <si>
    <t>Total income shown in return (sl. no.11 of state. of total income)</t>
  </si>
  <si>
    <t>Tax Exempted Income</t>
  </si>
  <si>
    <t>Receipt of Gift and others</t>
  </si>
  <si>
    <t>Total Sources of fund</t>
  </si>
  <si>
    <t>Net wealth at the last date of the previous income year</t>
  </si>
  <si>
    <t>Sum of Source of fund and net wealth at the last date of the previous income year (2+3)</t>
  </si>
  <si>
    <t>Expenses relating to Lifestyle (as per IT-10BB)</t>
  </si>
  <si>
    <t>Gift/Expenses/Loss not mentioned in IT-10BB</t>
  </si>
  <si>
    <t>Total Expenses and Loss</t>
  </si>
  <si>
    <r>
      <rPr>
        <sz val="12"/>
        <color rgb="FF000000"/>
        <rFont val="Times New Roman"/>
        <family val="1"/>
      </rPr>
      <t xml:space="preserve">Net wealth at the last date of this financial year </t>
    </r>
    <r>
      <rPr>
        <sz val="11"/>
        <color rgb="FF000000"/>
        <rFont val="Times New Roman"/>
        <family val="1"/>
      </rPr>
      <t>(3-4)</t>
    </r>
  </si>
  <si>
    <t>Personal liabilities outside business</t>
  </si>
  <si>
    <t>Institutional liabilities</t>
  </si>
  <si>
    <t>Non-institutional liabilities</t>
  </si>
  <si>
    <t>Other liabilities</t>
  </si>
  <si>
    <t>Total liabilities outside business</t>
  </si>
  <si>
    <r>
      <rPr>
        <sz val="12"/>
        <color rgb="FF000000"/>
        <rFont val="Times New Roman"/>
        <family val="1"/>
      </rPr>
      <t xml:space="preserve">Gross wealth </t>
    </r>
    <r>
      <rPr>
        <sz val="11"/>
        <color rgb="FF000000"/>
        <rFont val="Times New Roman"/>
        <family val="1"/>
      </rPr>
      <t>(5+6)</t>
    </r>
  </si>
  <si>
    <t>Particular of assets (if needed attach separate sheet)</t>
  </si>
  <si>
    <t>Aggregate Business capital and liabilities</t>
  </si>
  <si>
    <t>Less: Business liabilities</t>
  </si>
  <si>
    <t>Director's shareholdings in limited companies</t>
  </si>
  <si>
    <t>Business capital of Partnership Firm</t>
  </si>
  <si>
    <t>Non-Agricultural Property / land / House Property
(Acquisition / Cost Value with Legal Expense / Acquired Price / Building
Cost / Investment)</t>
  </si>
  <si>
    <t>Location and Description of Non-Agricultural Property
(use separate sheet if needed)</t>
  </si>
  <si>
    <t>(Banani &amp; Dhanmondi Address)</t>
  </si>
  <si>
    <t>Agricultural Property
(Acquisition / Cost Value with Legal Expense)</t>
  </si>
  <si>
    <t>Financial assets</t>
  </si>
  <si>
    <t>(i)</t>
  </si>
  <si>
    <t>Share/Debenture/Bond/Securities/Unit Certificate etc.</t>
  </si>
  <si>
    <t>(ii)</t>
  </si>
  <si>
    <t>Savings certificate/Deposit Pension Scheme</t>
  </si>
  <si>
    <t>(iii)</t>
  </si>
  <si>
    <t>Loan given</t>
  </si>
  <si>
    <t>(Mention name and TIN of loan receiver)</t>
  </si>
  <si>
    <t>(iv)</t>
  </si>
  <si>
    <t>Fixed Deposit/Term Deposit</t>
  </si>
  <si>
    <t>(v)</t>
  </si>
  <si>
    <t>Provident Fund or Other Fund (if any)</t>
  </si>
  <si>
    <t>(vi)</t>
  </si>
  <si>
    <t>Other investment</t>
  </si>
  <si>
    <t>Total Financial assets</t>
  </si>
  <si>
    <t>(g)</t>
  </si>
  <si>
    <t>Motor car(s) (cost value)</t>
  </si>
  <si>
    <t>Mention type of motor vehicle and Registration number</t>
  </si>
  <si>
    <t>(h)</t>
  </si>
  <si>
    <t>Ornaments (mention quantity)</t>
  </si>
  <si>
    <t>Furniture and electronic items</t>
  </si>
  <si>
    <t>(j)</t>
  </si>
  <si>
    <t>Other assets (except assets mentioned in sl. k)</t>
  </si>
  <si>
    <t>(k)</t>
  </si>
  <si>
    <t>Cash, Bank and fund outside business</t>
  </si>
  <si>
    <t xml:space="preserve">(i) </t>
  </si>
  <si>
    <t>Bank Balance</t>
  </si>
  <si>
    <t>Cash in Hand</t>
  </si>
  <si>
    <t xml:space="preserve">I declare that to the best of my knowledge and belief the information given in this IT-10B (2023) herewith are correct and complete. </t>
  </si>
  <si>
    <t>Name and Signature of Taxpayer</t>
  </si>
  <si>
    <t>Living Expense</t>
  </si>
  <si>
    <t>Wasa Bill</t>
  </si>
  <si>
    <t>Electricity Bill</t>
  </si>
  <si>
    <t>Utility Expense</t>
  </si>
  <si>
    <t>Service Charge for Accomodation</t>
  </si>
  <si>
    <t>Transportation Expense</t>
  </si>
  <si>
    <t>Medical Expense</t>
  </si>
  <si>
    <t>Festival Expense</t>
  </si>
  <si>
    <t>Foreign Tour</t>
  </si>
  <si>
    <t>Submitted to:</t>
  </si>
  <si>
    <t>Department of Accounting &amp; Finance</t>
  </si>
  <si>
    <t>Mr. Rezwanul Mumtahin Husain</t>
  </si>
  <si>
    <t>ACT370 (Taxation); Section: 2</t>
  </si>
  <si>
    <t>Date of Submission: December 26, 2025</t>
  </si>
  <si>
    <t>2025-2026</t>
  </si>
  <si>
    <t>Dhanmondi</t>
  </si>
  <si>
    <t>Lower of 1/3rd of total reciepts or tk500,000</t>
  </si>
  <si>
    <t>Md. Siddiqur Rahman</t>
  </si>
  <si>
    <t>Masrul Fahid Islam Rahi</t>
  </si>
  <si>
    <t>Faiaz Ahmed Nafiz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</si>
</sst>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m\ d\ yyyy"/>
    <numFmt numFmtId="165" formatCode="_(* #,##0_);_(* \(#,##0\);_(* &quot;-&quot;??_);_(@_)"/>
    <numFmt numFmtId="166" formatCode="[$-409]dd\-mmm\-yy"/>
  </numFmts>
  <fonts count="40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color rgb="FF000000"/>
      <name val="Arial"/>
      <family val="2"/>
    </font>
    <font>
      <sz val="11"/>
      <color rgb="FF000000"/>
      <name val="Nikoshban"/>
    </font>
    <font>
      <sz val="12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7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7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vertical="top"/>
    </xf>
    <xf numFmtId="0" fontId="5" fillId="0" borderId="15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1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16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6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5" fontId="5" fillId="0" borderId="8" xfId="0" applyNumberFormat="1" applyFont="1" applyBorder="1" applyAlignment="1">
      <alignment vertical="center"/>
    </xf>
    <xf numFmtId="165" fontId="5" fillId="0" borderId="11" xfId="0" applyNumberFormat="1" applyFont="1" applyBorder="1" applyAlignment="1">
      <alignment vertical="center"/>
    </xf>
    <xf numFmtId="165" fontId="5" fillId="0" borderId="9" xfId="0" applyNumberFormat="1" applyFont="1" applyBorder="1" applyAlignment="1">
      <alignment vertical="center"/>
    </xf>
    <xf numFmtId="4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" fontId="6" fillId="0" borderId="3" xfId="0" applyNumberFormat="1" applyFont="1" applyBorder="1" applyAlignment="1">
      <alignment vertical="center"/>
    </xf>
    <xf numFmtId="1" fontId="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2" fillId="0" borderId="11" xfId="0" applyFont="1" applyBorder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0" xfId="0" applyFont="1"/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12" fillId="0" borderId="1" xfId="0" applyFont="1" applyBorder="1" applyAlignment="1">
      <alignment horizontal="left"/>
    </xf>
    <xf numFmtId="0" fontId="11" fillId="2" borderId="0" xfId="0" applyFont="1" applyFill="1"/>
    <xf numFmtId="0" fontId="12" fillId="0" borderId="8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5" fillId="0" borderId="20" xfId="0" applyFont="1" applyBorder="1" applyAlignment="1">
      <alignment horizontal="center" vertical="top"/>
    </xf>
    <xf numFmtId="0" fontId="5" fillId="0" borderId="20" xfId="0" applyFont="1" applyBorder="1" applyAlignment="1">
      <alignment horizontal="left" vertical="top"/>
    </xf>
    <xf numFmtId="0" fontId="17" fillId="0" borderId="20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/>
    </xf>
    <xf numFmtId="0" fontId="11" fillId="0" borderId="1" xfId="0" applyFont="1" applyBorder="1" applyAlignment="1">
      <alignment horizontal="left" vertical="top"/>
    </xf>
    <xf numFmtId="0" fontId="11" fillId="0" borderId="4" xfId="0" applyFont="1" applyBorder="1" applyAlignment="1">
      <alignment vertical="top"/>
    </xf>
    <xf numFmtId="0" fontId="1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11" fillId="0" borderId="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11" fillId="0" borderId="0" xfId="0" applyFont="1" applyAlignment="1">
      <alignment horizontal="center"/>
    </xf>
    <xf numFmtId="0" fontId="5" fillId="0" borderId="20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left" vertical="top"/>
    </xf>
    <xf numFmtId="43" fontId="11" fillId="0" borderId="20" xfId="0" applyNumberFormat="1" applyFont="1" applyBorder="1" applyAlignment="1">
      <alignment horizontal="left" vertical="top"/>
    </xf>
    <xf numFmtId="0" fontId="18" fillId="0" borderId="0" xfId="0" applyFont="1" applyAlignment="1">
      <alignment vertical="center"/>
    </xf>
    <xf numFmtId="0" fontId="9" fillId="0" borderId="1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5" fillId="0" borderId="3" xfId="0" quotePrefix="1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20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0" borderId="6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165" fontId="5" fillId="0" borderId="4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3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23" fillId="0" borderId="0" xfId="0" applyFont="1"/>
    <xf numFmtId="43" fontId="5" fillId="0" borderId="4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20" xfId="0" quotePrefix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/>
    <xf numFmtId="0" fontId="18" fillId="0" borderId="5" xfId="0" quotePrefix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8" xfId="0" quotePrefix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5" fontId="25" fillId="0" borderId="4" xfId="0" applyNumberFormat="1" applyFont="1" applyBorder="1" applyAlignment="1">
      <alignment vertical="center"/>
    </xf>
    <xf numFmtId="165" fontId="25" fillId="0" borderId="4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165" fontId="18" fillId="0" borderId="4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23" fillId="0" borderId="1" xfId="0" applyFont="1" applyBorder="1"/>
    <xf numFmtId="0" fontId="26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28" fillId="0" borderId="22" xfId="0" applyFont="1" applyBorder="1" applyAlignment="1">
      <alignment horizontal="center" vertical="center"/>
    </xf>
    <xf numFmtId="0" fontId="23" fillId="0" borderId="20" xfId="0" applyFont="1" applyBorder="1"/>
    <xf numFmtId="0" fontId="29" fillId="0" borderId="20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0" fillId="0" borderId="0" xfId="0"/>
    <xf numFmtId="0" fontId="1" fillId="0" borderId="2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" fillId="0" borderId="4" xfId="0" applyFont="1" applyBorder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0" borderId="6" xfId="0" applyFont="1" applyBorder="1"/>
    <xf numFmtId="0" fontId="5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5" fillId="0" borderId="13" xfId="0" applyFont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6" fillId="0" borderId="18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top"/>
    </xf>
    <xf numFmtId="165" fontId="5" fillId="0" borderId="1" xfId="0" applyNumberFormat="1" applyFont="1" applyBorder="1" applyAlignment="1">
      <alignment vertical="center"/>
    </xf>
    <xf numFmtId="43" fontId="5" fillId="0" borderId="1" xfId="0" applyNumberFormat="1" applyFont="1" applyBorder="1" applyAlignment="1">
      <alignment horizontal="center" vertical="center"/>
    </xf>
    <xf numFmtId="165" fontId="5" fillId="0" borderId="22" xfId="0" applyNumberFormat="1" applyFont="1" applyBorder="1" applyAlignment="1">
      <alignment horizontal="center" vertical="center"/>
    </xf>
    <xf numFmtId="0" fontId="1" fillId="0" borderId="20" xfId="0" applyFont="1" applyBorder="1"/>
    <xf numFmtId="0" fontId="1" fillId="0" borderId="23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9" xfId="0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1" fillId="0" borderId="4" xfId="0" applyFont="1" applyFill="1" applyBorder="1"/>
    <xf numFmtId="0" fontId="1" fillId="0" borderId="2" xfId="0" applyFont="1" applyFill="1" applyBorder="1"/>
    <xf numFmtId="0" fontId="5" fillId="0" borderId="21" xfId="0" applyFont="1" applyBorder="1" applyAlignment="1">
      <alignment horizontal="center" vertical="top"/>
    </xf>
    <xf numFmtId="0" fontId="1" fillId="0" borderId="10" xfId="0" applyFont="1" applyBorder="1"/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3" fontId="5" fillId="2" borderId="1" xfId="0" applyNumberFormat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3" fontId="5" fillId="0" borderId="4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left" vertical="top"/>
    </xf>
    <xf numFmtId="0" fontId="3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3" fontId="5" fillId="0" borderId="2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top"/>
    </xf>
    <xf numFmtId="3" fontId="16" fillId="0" borderId="4" xfId="0" applyNumberFormat="1" applyFont="1" applyBorder="1" applyAlignment="1">
      <alignment horizontal="center" vertical="top"/>
    </xf>
    <xf numFmtId="3" fontId="17" fillId="0" borderId="4" xfId="0" applyNumberFormat="1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0" fontId="1" fillId="0" borderId="7" xfId="0" applyFont="1" applyBorder="1"/>
    <xf numFmtId="0" fontId="5" fillId="0" borderId="2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3" fontId="5" fillId="0" borderId="22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38" fontId="5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165" fontId="5" fillId="0" borderId="22" xfId="0" applyNumberFormat="1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5" fillId="0" borderId="1" xfId="0" applyFont="1" applyBorder="1" applyAlignment="1">
      <alignment vertical="top"/>
    </xf>
    <xf numFmtId="37" fontId="5" fillId="0" borderId="1" xfId="0" applyNumberFormat="1" applyFont="1" applyBorder="1" applyAlignment="1">
      <alignment vertical="top"/>
    </xf>
    <xf numFmtId="165" fontId="11" fillId="0" borderId="1" xfId="0" applyNumberFormat="1" applyFont="1" applyBorder="1" applyAlignment="1">
      <alignment horizontal="left" vertical="top"/>
    </xf>
    <xf numFmtId="165" fontId="1" fillId="0" borderId="4" xfId="0" applyNumberFormat="1" applyFont="1" applyBorder="1"/>
    <xf numFmtId="165" fontId="1" fillId="0" borderId="2" xfId="0" applyNumberFormat="1" applyFont="1" applyBorder="1"/>
    <xf numFmtId="0" fontId="11" fillId="0" borderId="1" xfId="0" applyFont="1" applyBorder="1" applyAlignment="1">
      <alignment horizontal="left" vertical="top"/>
    </xf>
    <xf numFmtId="3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43" fontId="5" fillId="0" borderId="1" xfId="0" applyNumberFormat="1" applyFont="1" applyBorder="1" applyAlignment="1">
      <alignment vertical="top"/>
    </xf>
    <xf numFmtId="43" fontId="11" fillId="0" borderId="1" xfId="0" applyNumberFormat="1" applyFont="1" applyBorder="1" applyAlignment="1">
      <alignment horizontal="left" vertical="top"/>
    </xf>
    <xf numFmtId="165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165" fontId="1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165" fontId="9" fillId="0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166" fontId="18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24" fillId="0" borderId="1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4" fillId="0" borderId="1" xfId="0" applyFont="1" applyBorder="1"/>
    <xf numFmtId="0" fontId="34" fillId="0" borderId="2" xfId="0" applyFont="1" applyBorder="1"/>
    <xf numFmtId="0" fontId="15" fillId="0" borderId="0" xfId="0" applyFont="1"/>
    <xf numFmtId="0" fontId="15" fillId="0" borderId="0" xfId="0" applyFont="1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3" borderId="0" xfId="0" applyFont="1" applyFill="1" applyAlignment="1">
      <alignment horizontal="center"/>
    </xf>
    <xf numFmtId="0" fontId="15" fillId="3" borderId="0" xfId="0" applyFont="1" applyFill="1"/>
    <xf numFmtId="0" fontId="15" fillId="0" borderId="0" xfId="0" applyFont="1" applyAlignment="1">
      <alignment horizontal="center"/>
    </xf>
    <xf numFmtId="0" fontId="35" fillId="0" borderId="25" xfId="0" applyFont="1" applyBorder="1" applyAlignment="1">
      <alignment horizontal="center"/>
    </xf>
    <xf numFmtId="0" fontId="15" fillId="0" borderId="25" xfId="0" applyFont="1" applyFill="1" applyBorder="1"/>
    <xf numFmtId="0" fontId="15" fillId="0" borderId="0" xfId="0" applyFont="1" applyBorder="1"/>
    <xf numFmtId="0" fontId="15" fillId="0" borderId="0" xfId="0" applyFont="1" applyBorder="1"/>
    <xf numFmtId="0" fontId="35" fillId="0" borderId="25" xfId="0" applyFont="1" applyBorder="1" applyAlignment="1">
      <alignment horizontal="center"/>
    </xf>
    <xf numFmtId="0" fontId="15" fillId="0" borderId="25" xfId="0" applyFont="1" applyFill="1" applyBorder="1" applyAlignment="1">
      <alignment horizontal="left"/>
    </xf>
    <xf numFmtId="0" fontId="34" fillId="0" borderId="4" xfId="0" applyFont="1" applyBorder="1"/>
    <xf numFmtId="0" fontId="34" fillId="0" borderId="5" xfId="0" applyFont="1" applyBorder="1"/>
    <xf numFmtId="0" fontId="34" fillId="0" borderId="13" xfId="0" applyFont="1" applyBorder="1"/>
    <xf numFmtId="0" fontId="34" fillId="0" borderId="14" xfId="0" applyFont="1" applyBorder="1"/>
    <xf numFmtId="0" fontId="34" fillId="0" borderId="16" xfId="0" applyFont="1" applyBorder="1"/>
    <xf numFmtId="0" fontId="34" fillId="0" borderId="6" xfId="0" applyFont="1" applyBorder="1"/>
    <xf numFmtId="0" fontId="34" fillId="0" borderId="18" xfId="0" applyFont="1" applyBorder="1"/>
    <xf numFmtId="0" fontId="34" fillId="0" borderId="19" xfId="0" applyFont="1" applyBorder="1"/>
    <xf numFmtId="0" fontId="34" fillId="0" borderId="4" xfId="0" applyFont="1" applyFill="1" applyBorder="1"/>
    <xf numFmtId="0" fontId="34" fillId="0" borderId="2" xfId="0" applyFont="1" applyFill="1" applyBorder="1"/>
    <xf numFmtId="0" fontId="34" fillId="0" borderId="20" xfId="0" applyFont="1" applyBorder="1"/>
    <xf numFmtId="0" fontId="34" fillId="0" borderId="23" xfId="0" applyFont="1" applyBorder="1"/>
    <xf numFmtId="0" fontId="34" fillId="0" borderId="10" xfId="0" applyFont="1" applyBorder="1"/>
    <xf numFmtId="0" fontId="34" fillId="0" borderId="8" xfId="0" applyFont="1" applyBorder="1"/>
    <xf numFmtId="0" fontId="34" fillId="0" borderId="11" xfId="0" applyFont="1" applyBorder="1"/>
    <xf numFmtId="0" fontId="34" fillId="0" borderId="9" xfId="0" applyFont="1" applyBorder="1"/>
    <xf numFmtId="0" fontId="34" fillId="0" borderId="24" xfId="0" applyFont="1" applyBorder="1"/>
    <xf numFmtId="0" fontId="10" fillId="0" borderId="5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/>
    <xf numFmtId="3" fontId="3" fillId="0" borderId="7" xfId="0" applyNumberFormat="1" applyFont="1" applyBorder="1"/>
    <xf numFmtId="0" fontId="37" fillId="0" borderId="5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3" fontId="38" fillId="0" borderId="7" xfId="0" applyNumberFormat="1" applyFont="1" applyBorder="1"/>
    <xf numFmtId="0" fontId="4" fillId="0" borderId="8" xfId="0" applyFont="1" applyBorder="1"/>
    <xf numFmtId="3" fontId="3" fillId="0" borderId="10" xfId="0" applyNumberFormat="1" applyFont="1" applyBorder="1"/>
    <xf numFmtId="3" fontId="4" fillId="0" borderId="10" xfId="0" applyNumberFormat="1" applyFont="1" applyBorder="1"/>
    <xf numFmtId="0" fontId="3" fillId="0" borderId="8" xfId="0" applyFont="1" applyBorder="1"/>
    <xf numFmtId="0" fontId="3" fillId="0" borderId="11" xfId="0" applyFont="1" applyBorder="1"/>
    <xf numFmtId="3" fontId="7" fillId="0" borderId="10" xfId="0" applyNumberFormat="1" applyFont="1" applyBorder="1"/>
    <xf numFmtId="9" fontId="3" fillId="0" borderId="7" xfId="0" applyNumberFormat="1" applyFont="1" applyBorder="1"/>
    <xf numFmtId="9" fontId="3" fillId="0" borderId="10" xfId="0" applyNumberFormat="1" applyFont="1" applyBorder="1"/>
    <xf numFmtId="0" fontId="4" fillId="0" borderId="10" xfId="0" applyFont="1" applyBorder="1"/>
    <xf numFmtId="3" fontId="7" fillId="0" borderId="3" xfId="0" applyNumberFormat="1" applyFont="1" applyBorder="1"/>
    <xf numFmtId="3" fontId="3" fillId="0" borderId="5" xfId="0" applyNumberFormat="1" applyFont="1" applyBorder="1"/>
    <xf numFmtId="0" fontId="4" fillId="0" borderId="22" xfId="0" applyFont="1" applyBorder="1" applyAlignment="1">
      <alignment horizontal="center" vertical="center"/>
    </xf>
    <xf numFmtId="3" fontId="3" fillId="0" borderId="8" xfId="0" applyNumberFormat="1" applyFont="1" applyBorder="1"/>
    <xf numFmtId="0" fontId="4" fillId="0" borderId="5" xfId="0" applyFont="1" applyBorder="1"/>
    <xf numFmtId="0" fontId="3" fillId="0" borderId="5" xfId="0" applyFont="1" applyBorder="1" applyAlignment="1">
      <alignment horizontal="right"/>
    </xf>
    <xf numFmtId="0" fontId="37" fillId="0" borderId="5" xfId="0" applyFont="1" applyBorder="1"/>
    <xf numFmtId="0" fontId="39" fillId="2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0" xfId="0" applyFont="1" applyBorder="1"/>
    <xf numFmtId="3" fontId="3" fillId="0" borderId="21" xfId="0" applyNumberFormat="1" applyFont="1" applyBorder="1"/>
    <xf numFmtId="3" fontId="3" fillId="0" borderId="3" xfId="0" applyNumberFormat="1" applyFont="1" applyBorder="1"/>
    <xf numFmtId="0" fontId="39" fillId="2" borderId="3" xfId="0" applyFont="1" applyFill="1" applyBorder="1" applyAlignment="1">
      <alignment horizontal="center" vertical="center"/>
    </xf>
    <xf numFmtId="3" fontId="3" fillId="0" borderId="0" xfId="0" applyNumberFormat="1" applyFont="1"/>
    <xf numFmtId="3" fontId="4" fillId="0" borderId="3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6" xfId="0" applyFont="1" applyBorder="1"/>
    <xf numFmtId="0" fontId="3" fillId="0" borderId="9" xfId="0" applyFont="1" applyBorder="1"/>
    <xf numFmtId="3" fontId="38" fillId="0" borderId="10" xfId="0" applyNumberFormat="1" applyFont="1" applyBorder="1"/>
    <xf numFmtId="3" fontId="38" fillId="0" borderId="5" xfId="0" applyNumberFormat="1" applyFont="1" applyBorder="1"/>
    <xf numFmtId="0" fontId="4" fillId="0" borderId="11" xfId="0" applyFont="1" applyBorder="1"/>
    <xf numFmtId="3" fontId="3" fillId="0" borderId="1" xfId="0" applyNumberFormat="1" applyFont="1" applyBorder="1"/>
    <xf numFmtId="0" fontId="3" fillId="0" borderId="4" xfId="0" applyFont="1" applyBorder="1" applyAlignment="1">
      <alignment horizontal="center" vertical="center"/>
    </xf>
    <xf numFmtId="3" fontId="3" fillId="0" borderId="6" xfId="0" applyNumberFormat="1" applyFont="1" applyBorder="1"/>
    <xf numFmtId="0" fontId="4" fillId="0" borderId="3" xfId="0" applyFont="1" applyBorder="1"/>
  </cellXfs>
  <cellStyles count="1">
    <cellStyle name="Normal" xfId="0" builtinId="0"/>
  </cellStyles>
  <dxfs count="26"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</xdr:row>
      <xdr:rowOff>28576</xdr:rowOff>
    </xdr:from>
    <xdr:to>
      <xdr:col>5</xdr:col>
      <xdr:colOff>485775</xdr:colOff>
      <xdr:row>11</xdr:row>
      <xdr:rowOff>66676</xdr:rowOff>
    </xdr:to>
    <xdr:pic>
      <xdr:nvPicPr>
        <xdr:cNvPr id="3" name="Picture 2" descr="FIN 254 | bushraatnsu">
          <a:extLst>
            <a:ext uri="{FF2B5EF4-FFF2-40B4-BE49-F238E27FC236}">
              <a16:creationId xmlns:a16="http://schemas.microsoft.com/office/drawing/2014/main" id="{C06EED2E-2A3A-411F-B2C6-C43DE2E1807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390651"/>
          <a:ext cx="4410075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130</xdr:row>
      <xdr:rowOff>152400</xdr:rowOff>
    </xdr:from>
    <xdr:ext cx="781050" cy="857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19</xdr:col>
      <xdr:colOff>161925</xdr:colOff>
      <xdr:row>118</xdr:row>
      <xdr:rowOff>152400</xdr:rowOff>
    </xdr:from>
    <xdr:to>
      <xdr:col>25</xdr:col>
      <xdr:colOff>19050</xdr:colOff>
      <xdr:row>122</xdr:row>
      <xdr:rowOff>133552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9E40EE-840F-4AC3-B9A8-CA506B4FA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5" y="24688800"/>
          <a:ext cx="1323975" cy="666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28</xdr:row>
      <xdr:rowOff>95250</xdr:rowOff>
    </xdr:from>
    <xdr:to>
      <xdr:col>22</xdr:col>
      <xdr:colOff>200025</xdr:colOff>
      <xdr:row>32</xdr:row>
      <xdr:rowOff>47827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402915-031B-4DF9-BADA-F91C8C2A8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6134100"/>
          <a:ext cx="1323975" cy="666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209550</xdr:colOff>
      <xdr:row>70</xdr:row>
      <xdr:rowOff>0</xdr:rowOff>
    </xdr:from>
    <xdr:to>
      <xdr:col>22</xdr:col>
      <xdr:colOff>65423</xdr:colOff>
      <xdr:row>74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9FADF-4574-4639-BF41-C1E7A071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4516100"/>
          <a:ext cx="1437023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29"/>
  <sheetViews>
    <sheetView showGridLines="0" zoomScaleNormal="100" workbookViewId="0">
      <selection activeCell="J22" sqref="J22"/>
    </sheetView>
  </sheetViews>
  <sheetFormatPr defaultColWidth="14.42578125" defaultRowHeight="15" customHeight="1"/>
  <cols>
    <col min="1" max="1" width="14.42578125" style="322"/>
    <col min="2" max="2" width="7.7109375" style="322" customWidth="1"/>
    <col min="3" max="3" width="18.85546875" style="322" customWidth="1"/>
    <col min="4" max="4" width="19" style="322" customWidth="1"/>
    <col min="5" max="5" width="14.140625" style="322" customWidth="1"/>
    <col min="6" max="6" width="7.85546875" style="322" customWidth="1"/>
    <col min="7" max="16384" width="14.42578125" style="322"/>
  </cols>
  <sheetData>
    <row r="1" spans="2:5" ht="15" customHeight="1">
      <c r="B1" s="321"/>
      <c r="C1" s="321"/>
      <c r="D1" s="321"/>
      <c r="E1" s="321"/>
    </row>
    <row r="2" spans="2:5" ht="15" customHeight="1">
      <c r="B2" s="321"/>
      <c r="C2" s="321"/>
      <c r="D2" s="321"/>
      <c r="E2" s="321"/>
    </row>
    <row r="3" spans="2:5" ht="1.5" customHeight="1"/>
    <row r="4" spans="2:5" ht="15.75">
      <c r="B4" s="321"/>
      <c r="C4" s="323"/>
      <c r="D4" s="321"/>
      <c r="E4" s="321"/>
    </row>
    <row r="5" spans="2:5" ht="15" customHeight="1">
      <c r="B5" s="321"/>
      <c r="C5" s="321"/>
      <c r="D5" s="321"/>
      <c r="E5" s="321"/>
    </row>
    <row r="6" spans="2:5" ht="15" customHeight="1">
      <c r="B6" s="321"/>
      <c r="C6" s="321"/>
      <c r="D6" s="321"/>
      <c r="E6" s="321"/>
    </row>
    <row r="7" spans="2:5" ht="15" customHeight="1">
      <c r="B7" s="321"/>
      <c r="C7" s="321"/>
      <c r="D7" s="321"/>
      <c r="E7" s="321"/>
    </row>
    <row r="8" spans="2:5" ht="15" customHeight="1">
      <c r="B8" s="321"/>
      <c r="C8" s="321"/>
      <c r="D8" s="321"/>
      <c r="E8" s="321"/>
    </row>
    <row r="9" spans="2:5" ht="15" customHeight="1">
      <c r="B9" s="321"/>
      <c r="C9" s="321"/>
      <c r="D9" s="321"/>
      <c r="E9" s="321"/>
    </row>
    <row r="10" spans="2:5" ht="15" customHeight="1">
      <c r="B10" s="321"/>
      <c r="C10" s="321"/>
      <c r="D10" s="321"/>
      <c r="E10" s="321"/>
    </row>
    <row r="11" spans="2:5" ht="40.5" customHeight="1">
      <c r="B11" s="321"/>
      <c r="C11" s="321"/>
      <c r="D11" s="321"/>
      <c r="E11" s="321"/>
    </row>
    <row r="12" spans="2:5" ht="15" customHeight="1">
      <c r="B12" s="321"/>
      <c r="C12" s="321"/>
      <c r="D12" s="321"/>
      <c r="E12" s="321"/>
    </row>
    <row r="13" spans="2:5" ht="15.75">
      <c r="B13" s="321"/>
      <c r="C13" s="324" t="s">
        <v>0</v>
      </c>
      <c r="D13" s="329"/>
      <c r="E13" s="329"/>
    </row>
    <row r="14" spans="2:5" ht="15.75">
      <c r="B14" s="321"/>
      <c r="C14" s="324" t="s">
        <v>446</v>
      </c>
      <c r="D14" s="329"/>
      <c r="E14" s="329"/>
    </row>
    <row r="15" spans="2:5" ht="15" customHeight="1">
      <c r="B15" s="321"/>
      <c r="C15" s="329"/>
      <c r="D15" s="329"/>
      <c r="E15" s="329"/>
    </row>
    <row r="16" spans="2:5" ht="15.75">
      <c r="B16" s="321"/>
      <c r="C16" s="324" t="s">
        <v>443</v>
      </c>
      <c r="D16" s="329"/>
      <c r="E16" s="329"/>
    </row>
    <row r="17" spans="2:6" ht="15.75">
      <c r="B17" s="321"/>
      <c r="C17" s="325" t="s">
        <v>445</v>
      </c>
      <c r="D17" s="329"/>
      <c r="E17" s="329"/>
    </row>
    <row r="18" spans="2:6" ht="15.75">
      <c r="B18" s="321"/>
      <c r="C18" s="325" t="s">
        <v>1</v>
      </c>
      <c r="D18" s="329"/>
      <c r="E18" s="329"/>
    </row>
    <row r="19" spans="2:6" ht="15.75">
      <c r="B19" s="321"/>
      <c r="C19" s="325" t="s">
        <v>444</v>
      </c>
      <c r="D19" s="329"/>
      <c r="E19" s="329"/>
    </row>
    <row r="20" spans="2:6" ht="15.75">
      <c r="B20" s="321"/>
      <c r="C20" s="325" t="s">
        <v>2</v>
      </c>
      <c r="D20" s="329"/>
      <c r="E20" s="329"/>
    </row>
    <row r="21" spans="2:6" ht="15" customHeight="1">
      <c r="B21" s="321"/>
      <c r="C21" s="321"/>
      <c r="D21" s="321"/>
      <c r="E21" s="321"/>
    </row>
    <row r="22" spans="2:6" ht="15.75">
      <c r="B22" s="321"/>
      <c r="C22" s="326" t="s">
        <v>3</v>
      </c>
      <c r="D22" s="321"/>
      <c r="E22" s="321"/>
    </row>
    <row r="23" spans="2:6" ht="15.75">
      <c r="B23" s="330" t="s">
        <v>4</v>
      </c>
      <c r="C23" s="330"/>
      <c r="D23" s="330"/>
      <c r="E23" s="334" t="s">
        <v>5</v>
      </c>
      <c r="F23" s="334" t="s">
        <v>6</v>
      </c>
    </row>
    <row r="24" spans="2:6" ht="15.75">
      <c r="B24" s="335" t="s">
        <v>452</v>
      </c>
      <c r="C24" s="335"/>
      <c r="D24" s="335"/>
      <c r="E24" s="331">
        <v>2131633030</v>
      </c>
      <c r="F24" s="331">
        <v>13</v>
      </c>
    </row>
    <row r="25" spans="2:6" ht="15.75">
      <c r="B25" s="335" t="s">
        <v>453</v>
      </c>
      <c r="C25" s="335"/>
      <c r="D25" s="335"/>
      <c r="E25" s="331">
        <v>2212391630</v>
      </c>
      <c r="F25" s="331">
        <v>18</v>
      </c>
    </row>
    <row r="26" spans="2:6" ht="15.75">
      <c r="B26" s="335" t="s">
        <v>451</v>
      </c>
      <c r="C26" s="335"/>
      <c r="D26" s="335"/>
      <c r="E26" s="331">
        <v>2212821030</v>
      </c>
      <c r="F26" s="331">
        <v>19</v>
      </c>
    </row>
    <row r="27" spans="2:6" ht="15" customHeight="1">
      <c r="B27" s="332"/>
      <c r="C27" s="332"/>
      <c r="D27" s="332"/>
      <c r="E27" s="332"/>
      <c r="F27" s="333"/>
    </row>
    <row r="28" spans="2:6" ht="15.75">
      <c r="C28" s="327" t="s">
        <v>447</v>
      </c>
      <c r="D28" s="328"/>
      <c r="E28" s="328"/>
    </row>
    <row r="29" spans="2:6" ht="15" customHeight="1">
      <c r="B29" s="321"/>
      <c r="C29" s="321"/>
      <c r="D29" s="321"/>
      <c r="E29" s="321"/>
    </row>
  </sheetData>
  <mergeCells count="22">
    <mergeCell ref="B23:D23"/>
    <mergeCell ref="B24:D24"/>
    <mergeCell ref="B26:D26"/>
    <mergeCell ref="B27:E27"/>
    <mergeCell ref="C28:E28"/>
    <mergeCell ref="B29:E29"/>
    <mergeCell ref="B1:E2"/>
    <mergeCell ref="B4:B11"/>
    <mergeCell ref="C4:E11"/>
    <mergeCell ref="B12:E12"/>
    <mergeCell ref="B13:B22"/>
    <mergeCell ref="B25:D25"/>
    <mergeCell ref="C18:E18"/>
    <mergeCell ref="C19:E19"/>
    <mergeCell ref="C20:E20"/>
    <mergeCell ref="C21:E21"/>
    <mergeCell ref="C22:E2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tabSelected="1" topLeftCell="A58" workbookViewId="0">
      <selection activeCell="AD122" sqref="AD122"/>
    </sheetView>
  </sheetViews>
  <sheetFormatPr defaultColWidth="14.42578125" defaultRowHeight="15" customHeight="1"/>
  <cols>
    <col min="1" max="6" width="3.42578125" style="318" customWidth="1"/>
    <col min="7" max="7" width="4.85546875" style="318" customWidth="1"/>
    <col min="8" max="10" width="3.42578125" style="318" customWidth="1"/>
    <col min="11" max="11" width="4.28515625" style="318" customWidth="1"/>
    <col min="12" max="19" width="3.42578125" style="318" customWidth="1"/>
    <col min="20" max="20" width="4.5703125" style="318" customWidth="1"/>
    <col min="21" max="21" width="3.7109375" style="318" customWidth="1"/>
    <col min="22" max="25" width="3.42578125" style="318" customWidth="1"/>
    <col min="26" max="26" width="4.5703125" style="318" customWidth="1"/>
    <col min="27" max="27" width="3.5703125" style="318" customWidth="1"/>
    <col min="28" max="28" width="3.42578125" style="318" customWidth="1"/>
    <col min="29" max="16384" width="14.42578125" style="318"/>
  </cols>
  <sheetData>
    <row r="1" spans="1:28" ht="16.5" customHeight="1">
      <c r="A1" s="193"/>
      <c r="B1" s="1"/>
      <c r="C1" s="1"/>
      <c r="D1" s="1"/>
      <c r="E1" s="1"/>
      <c r="F1" s="1"/>
      <c r="G1" s="1"/>
      <c r="H1" s="1"/>
      <c r="I1" s="1"/>
      <c r="J1" s="1"/>
      <c r="K1" s="1"/>
      <c r="L1" s="204" t="s">
        <v>7</v>
      </c>
      <c r="M1" s="317"/>
      <c r="N1" s="317"/>
      <c r="O1" s="317"/>
      <c r="P1" s="317"/>
      <c r="Q1" s="317"/>
      <c r="R1" s="317"/>
      <c r="S1" s="317"/>
      <c r="T1" s="2"/>
      <c r="U1" s="2"/>
      <c r="V1" s="3"/>
      <c r="W1" s="3"/>
      <c r="X1" s="4"/>
      <c r="Y1" s="4"/>
      <c r="Z1" s="4"/>
      <c r="AA1" s="4"/>
      <c r="AB1" s="4"/>
    </row>
    <row r="2" spans="1:28" ht="15" customHeight="1">
      <c r="A2" s="193"/>
      <c r="B2" s="193"/>
      <c r="C2" s="193"/>
      <c r="D2" s="193"/>
      <c r="E2" s="193"/>
      <c r="F2" s="193"/>
      <c r="G2" s="193"/>
      <c r="H2" s="193"/>
      <c r="I2" s="193"/>
      <c r="J2" s="5"/>
      <c r="K2" s="5"/>
      <c r="L2" s="205" t="s">
        <v>8</v>
      </c>
      <c r="M2" s="317"/>
      <c r="N2" s="317"/>
      <c r="O2" s="317"/>
      <c r="P2" s="317"/>
      <c r="Q2" s="317"/>
      <c r="R2" s="317"/>
      <c r="S2" s="317"/>
      <c r="T2" s="4"/>
      <c r="U2" s="4"/>
      <c r="V2" s="4"/>
      <c r="W2" s="3"/>
      <c r="X2" s="206" t="s">
        <v>9</v>
      </c>
      <c r="Y2" s="317"/>
      <c r="Z2" s="317"/>
      <c r="AA2" s="317"/>
      <c r="AB2" s="317"/>
    </row>
    <row r="3" spans="1:28" ht="18" customHeight="1">
      <c r="A3" s="207" t="s">
        <v>10</v>
      </c>
      <c r="B3" s="336"/>
      <c r="C3" s="336"/>
      <c r="D3" s="336"/>
      <c r="E3" s="336"/>
      <c r="F3" s="336"/>
      <c r="G3" s="336"/>
      <c r="H3" s="336"/>
      <c r="I3" s="336"/>
      <c r="J3" s="336"/>
      <c r="K3" s="320"/>
      <c r="L3" s="193"/>
      <c r="M3" s="193"/>
      <c r="N3" s="193"/>
      <c r="O3" s="193"/>
      <c r="P3" s="193"/>
      <c r="Q3" s="193"/>
      <c r="R3" s="193"/>
      <c r="S3" s="193"/>
      <c r="T3" s="2"/>
      <c r="U3" s="2"/>
      <c r="V3" s="3"/>
      <c r="W3" s="3"/>
      <c r="X3" s="3"/>
      <c r="Y3" s="3"/>
      <c r="Z3" s="3"/>
      <c r="AA3" s="3"/>
      <c r="AB3" s="3"/>
    </row>
    <row r="4" spans="1:28" ht="18" customHeight="1">
      <c r="A4" s="208" t="s">
        <v>11</v>
      </c>
      <c r="B4" s="336"/>
      <c r="C4" s="336"/>
      <c r="D4" s="336"/>
      <c r="E4" s="336"/>
      <c r="F4" s="336"/>
      <c r="G4" s="320"/>
      <c r="H4" s="207"/>
      <c r="I4" s="336"/>
      <c r="J4" s="336"/>
      <c r="K4" s="320"/>
      <c r="L4" s="209" t="s">
        <v>12</v>
      </c>
      <c r="M4" s="317"/>
      <c r="N4" s="317"/>
      <c r="O4" s="317"/>
      <c r="P4" s="317"/>
      <c r="Q4" s="317"/>
      <c r="R4" s="317"/>
      <c r="S4" s="317"/>
      <c r="T4" s="4"/>
      <c r="U4" s="4"/>
      <c r="V4" s="4"/>
      <c r="W4" s="4"/>
      <c r="X4" s="4"/>
      <c r="Y4" s="4"/>
      <c r="Z4" s="4"/>
      <c r="AA4" s="4"/>
      <c r="AB4" s="4"/>
    </row>
    <row r="5" spans="1:28" ht="18" customHeight="1">
      <c r="A5" s="208" t="s">
        <v>13</v>
      </c>
      <c r="B5" s="336"/>
      <c r="C5" s="336"/>
      <c r="D5" s="336"/>
      <c r="E5" s="336"/>
      <c r="F5" s="336"/>
      <c r="G5" s="320"/>
      <c r="H5" s="207"/>
      <c r="I5" s="336"/>
      <c r="J5" s="336"/>
      <c r="K5" s="320"/>
      <c r="L5" s="214" t="s">
        <v>14</v>
      </c>
      <c r="M5" s="317"/>
      <c r="N5" s="317"/>
      <c r="O5" s="317"/>
      <c r="P5" s="317"/>
      <c r="Q5" s="317"/>
      <c r="R5" s="317"/>
      <c r="S5" s="317"/>
      <c r="T5" s="4"/>
      <c r="U5" s="4"/>
      <c r="V5" s="4"/>
      <c r="W5" s="4"/>
      <c r="X5" s="4"/>
      <c r="Y5" s="4"/>
      <c r="Z5" s="4"/>
      <c r="AA5" s="4"/>
      <c r="AB5" s="4"/>
    </row>
    <row r="6" spans="1:28" ht="18" customHeight="1">
      <c r="A6" s="208" t="s">
        <v>15</v>
      </c>
      <c r="B6" s="336"/>
      <c r="C6" s="336"/>
      <c r="D6" s="336"/>
      <c r="E6" s="336"/>
      <c r="F6" s="336"/>
      <c r="G6" s="320"/>
      <c r="H6" s="207"/>
      <c r="I6" s="336"/>
      <c r="J6" s="336"/>
      <c r="K6" s="320"/>
      <c r="L6" s="337"/>
      <c r="M6" s="317"/>
      <c r="N6" s="317"/>
      <c r="O6" s="317"/>
      <c r="P6" s="317"/>
      <c r="Q6" s="317"/>
      <c r="R6" s="317"/>
      <c r="S6" s="317"/>
      <c r="T6" s="3"/>
      <c r="U6" s="3"/>
      <c r="V6" s="3"/>
      <c r="W6" s="3"/>
      <c r="X6" s="3"/>
      <c r="Y6" s="3"/>
      <c r="Z6" s="3"/>
      <c r="AA6" s="3"/>
      <c r="AB6" s="3"/>
    </row>
    <row r="7" spans="1:28" ht="15" customHeight="1" thickBot="1">
      <c r="A7" s="184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</row>
    <row r="8" spans="1:28" ht="18" customHeight="1">
      <c r="A8" s="7">
        <v>1</v>
      </c>
      <c r="B8" s="8" t="s">
        <v>16</v>
      </c>
      <c r="C8" s="8"/>
      <c r="D8" s="8"/>
      <c r="E8" s="8"/>
      <c r="F8" s="8"/>
      <c r="G8" s="8"/>
      <c r="H8" s="216" t="s">
        <v>17</v>
      </c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  <c r="AA8" s="338"/>
      <c r="AB8" s="339"/>
    </row>
    <row r="9" spans="1:28" ht="13.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80"/>
      <c r="R9" s="10"/>
      <c r="S9" s="10"/>
      <c r="T9" s="10"/>
      <c r="U9" s="10"/>
      <c r="V9" s="10"/>
      <c r="W9" s="10"/>
      <c r="X9" s="10"/>
      <c r="Y9" s="10"/>
      <c r="Z9" s="10"/>
      <c r="AA9" s="10"/>
      <c r="AB9" s="12"/>
    </row>
    <row r="10" spans="1:28" ht="17.25" customHeight="1">
      <c r="A10" s="9">
        <v>2</v>
      </c>
      <c r="B10" s="3" t="s">
        <v>18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10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40"/>
    </row>
    <row r="11" spans="1:28" ht="16.5" customHeight="1">
      <c r="A11" s="9"/>
      <c r="B11" s="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11"/>
      <c r="S11" s="317"/>
      <c r="T11" s="317"/>
      <c r="U11" s="317"/>
      <c r="V11" s="317"/>
      <c r="W11" s="317"/>
      <c r="X11" s="317"/>
      <c r="Y11" s="317"/>
      <c r="Z11" s="317"/>
      <c r="AA11" s="317"/>
      <c r="AB11" s="340"/>
    </row>
    <row r="12" spans="1:28" ht="18" customHeight="1">
      <c r="A12" s="9">
        <v>3</v>
      </c>
      <c r="B12" s="10" t="s">
        <v>19</v>
      </c>
      <c r="C12" s="10"/>
      <c r="D12" s="10"/>
      <c r="E12" s="10"/>
      <c r="F12" s="14">
        <v>1</v>
      </c>
      <c r="G12" s="14">
        <v>2</v>
      </c>
      <c r="H12" s="14">
        <v>3</v>
      </c>
      <c r="I12" s="15" t="s">
        <v>20</v>
      </c>
      <c r="J12" s="14">
        <v>4</v>
      </c>
      <c r="K12" s="14">
        <v>5</v>
      </c>
      <c r="L12" s="14">
        <v>6</v>
      </c>
      <c r="M12" s="15" t="s">
        <v>20</v>
      </c>
      <c r="N12" s="14">
        <v>7</v>
      </c>
      <c r="O12" s="14">
        <v>8</v>
      </c>
      <c r="P12" s="14">
        <v>9</v>
      </c>
      <c r="Q12" s="15">
        <v>0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2"/>
    </row>
    <row r="13" spans="1:28" ht="13.5" customHeight="1">
      <c r="A13" s="9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80"/>
      <c r="R13" s="10"/>
      <c r="S13" s="16"/>
      <c r="T13" s="16"/>
      <c r="U13" s="16"/>
      <c r="V13" s="16"/>
      <c r="W13" s="16"/>
      <c r="X13" s="16"/>
      <c r="Y13" s="16"/>
      <c r="Z13" s="16"/>
      <c r="AA13" s="16"/>
      <c r="AB13" s="17"/>
    </row>
    <row r="14" spans="1:28" ht="17.25" customHeight="1">
      <c r="A14" s="9">
        <v>4</v>
      </c>
      <c r="B14" s="10" t="s">
        <v>21</v>
      </c>
      <c r="C14" s="10"/>
      <c r="D14" s="10"/>
      <c r="E14" s="16"/>
      <c r="F14" s="210"/>
      <c r="G14" s="317"/>
      <c r="H14" s="317"/>
      <c r="I14" s="317"/>
      <c r="J14" s="317"/>
      <c r="K14" s="10"/>
      <c r="L14" s="10"/>
      <c r="M14" s="10" t="s">
        <v>22</v>
      </c>
      <c r="N14" s="10"/>
      <c r="O14" s="10"/>
      <c r="P14" s="10"/>
      <c r="Q14" s="210"/>
      <c r="R14" s="317"/>
      <c r="S14" s="317"/>
      <c r="T14" s="317"/>
      <c r="U14" s="317"/>
      <c r="V14" s="317"/>
      <c r="W14" s="317"/>
      <c r="X14" s="10"/>
      <c r="Y14" s="10"/>
      <c r="Z14" s="10"/>
      <c r="AA14" s="10"/>
      <c r="AB14" s="12"/>
    </row>
    <row r="15" spans="1:28" ht="13.5" customHeight="1">
      <c r="A15" s="9"/>
      <c r="B15" s="10"/>
      <c r="C15" s="1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80"/>
      <c r="R15" s="210"/>
      <c r="S15" s="317"/>
      <c r="T15" s="317"/>
      <c r="U15" s="317"/>
      <c r="V15" s="317"/>
      <c r="W15" s="317"/>
      <c r="X15" s="317"/>
      <c r="Y15" s="317"/>
      <c r="Z15" s="317"/>
      <c r="AA15" s="317"/>
      <c r="AB15" s="340"/>
    </row>
    <row r="16" spans="1:28" ht="13.5" customHeight="1">
      <c r="A16" s="9">
        <v>5</v>
      </c>
      <c r="B16" s="10" t="s">
        <v>23</v>
      </c>
      <c r="C16" s="10"/>
      <c r="D16" s="10"/>
      <c r="E16" s="10"/>
      <c r="F16" s="10"/>
      <c r="G16" s="10"/>
      <c r="H16" s="210" t="s">
        <v>448</v>
      </c>
      <c r="I16" s="317"/>
      <c r="J16" s="317"/>
      <c r="K16" s="317"/>
      <c r="L16" s="317"/>
      <c r="M16" s="10">
        <v>6</v>
      </c>
      <c r="N16" s="10" t="s">
        <v>24</v>
      </c>
      <c r="O16" s="10"/>
      <c r="P16" s="10"/>
      <c r="Q16" s="180"/>
      <c r="R16" s="182" t="s">
        <v>25</v>
      </c>
      <c r="S16" s="10"/>
      <c r="T16" s="10"/>
      <c r="U16" s="197"/>
      <c r="V16" s="19" t="s">
        <v>26</v>
      </c>
      <c r="W16" s="10" t="s">
        <v>27</v>
      </c>
      <c r="X16" s="10"/>
      <c r="Y16" s="10"/>
      <c r="Z16" s="10"/>
      <c r="AA16" s="14"/>
      <c r="AB16" s="12"/>
    </row>
    <row r="17" spans="1:28" ht="13.5" customHeight="1">
      <c r="A17" s="9"/>
      <c r="B17" s="10"/>
      <c r="C17" s="10"/>
      <c r="D17" s="10"/>
      <c r="E17" s="10"/>
      <c r="F17" s="10"/>
      <c r="G17" s="10"/>
      <c r="H17" s="180"/>
      <c r="I17" s="180"/>
      <c r="J17" s="180"/>
      <c r="K17" s="180"/>
      <c r="L17" s="180"/>
      <c r="M17" s="10"/>
      <c r="N17" s="10"/>
      <c r="O17" s="10"/>
      <c r="P17" s="10"/>
      <c r="Q17" s="18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2"/>
    </row>
    <row r="18" spans="1:28" ht="14.25" customHeight="1">
      <c r="A18" s="9">
        <v>7</v>
      </c>
      <c r="B18" s="10" t="s">
        <v>28</v>
      </c>
      <c r="C18" s="10"/>
      <c r="D18" s="10"/>
      <c r="E18" s="10"/>
      <c r="F18" s="10"/>
      <c r="G18" s="10"/>
      <c r="H18" s="10"/>
      <c r="I18" s="211" t="s">
        <v>29</v>
      </c>
      <c r="J18" s="317"/>
      <c r="K18" s="341"/>
      <c r="L18" s="14" t="s">
        <v>26</v>
      </c>
      <c r="M18" s="213" t="s">
        <v>30</v>
      </c>
      <c r="N18" s="317"/>
      <c r="O18" s="14"/>
      <c r="P18" s="10"/>
      <c r="Q18" s="182" t="s">
        <v>31</v>
      </c>
      <c r="R18" s="10"/>
      <c r="S18" s="10"/>
      <c r="T18" s="4"/>
      <c r="U18" s="4"/>
      <c r="V18" s="180"/>
      <c r="W18" s="14"/>
      <c r="X18" s="10"/>
      <c r="Y18" s="10" t="s">
        <v>32</v>
      </c>
      <c r="Z18" s="10"/>
      <c r="AA18" s="14"/>
      <c r="AB18" s="12"/>
    </row>
    <row r="19" spans="1:28" ht="13.5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80"/>
      <c r="R19" s="10"/>
      <c r="S19" s="10"/>
      <c r="T19" s="4"/>
      <c r="U19" s="4"/>
      <c r="V19" s="180"/>
      <c r="W19" s="180"/>
      <c r="X19" s="10"/>
      <c r="Y19" s="10"/>
      <c r="Z19" s="10"/>
      <c r="AA19" s="10"/>
      <c r="AB19" s="12"/>
    </row>
    <row r="20" spans="1:28" ht="13.5" customHeight="1">
      <c r="A20" s="20">
        <v>8</v>
      </c>
      <c r="B20" s="3" t="s">
        <v>33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87"/>
      <c r="R20" s="3"/>
      <c r="S20" s="3"/>
      <c r="T20" s="3"/>
      <c r="U20" s="3"/>
      <c r="V20" s="3"/>
      <c r="W20" s="3"/>
      <c r="X20" s="3"/>
      <c r="Y20" s="3"/>
      <c r="Z20" s="3"/>
      <c r="AA20" s="3"/>
      <c r="AB20" s="22"/>
    </row>
    <row r="21" spans="1:28" ht="13.5" customHeight="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80"/>
      <c r="R21" s="3"/>
      <c r="S21" s="3"/>
      <c r="T21" s="3"/>
      <c r="U21" s="3"/>
      <c r="V21" s="3"/>
      <c r="W21" s="3"/>
      <c r="X21" s="3"/>
      <c r="Y21" s="3"/>
      <c r="Z21" s="3"/>
      <c r="AA21" s="3"/>
      <c r="AB21" s="22"/>
    </row>
    <row r="22" spans="1:28" ht="13.5" customHeight="1">
      <c r="A22" s="9"/>
      <c r="B22" s="3" t="s">
        <v>34</v>
      </c>
      <c r="C22" s="3"/>
      <c r="D22" s="3"/>
      <c r="E22" s="3"/>
      <c r="F22" s="3"/>
      <c r="G22" s="3"/>
      <c r="H22" s="3"/>
      <c r="I22" s="3"/>
      <c r="J22" s="3"/>
      <c r="K22" s="3"/>
      <c r="L22" s="23"/>
      <c r="M22" s="3"/>
      <c r="N22" s="3" t="s">
        <v>35</v>
      </c>
      <c r="O22" s="3"/>
      <c r="P22" s="24"/>
      <c r="Q22" s="180"/>
      <c r="R22" s="25" t="s">
        <v>36</v>
      </c>
      <c r="S22" s="10"/>
      <c r="T22" s="10"/>
      <c r="U22" s="14"/>
      <c r="V22" s="10"/>
      <c r="W22" s="10" t="s">
        <v>37</v>
      </c>
      <c r="X22" s="3"/>
      <c r="Y22" s="3"/>
      <c r="Z22" s="3"/>
      <c r="AA22" s="23"/>
      <c r="AB22" s="22"/>
    </row>
    <row r="23" spans="1:28" ht="7.5" customHeight="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80"/>
      <c r="R23" s="3"/>
      <c r="S23" s="3"/>
      <c r="T23" s="3"/>
      <c r="U23" s="3"/>
      <c r="V23" s="3"/>
      <c r="W23" s="3"/>
      <c r="X23" s="3"/>
      <c r="Y23" s="3"/>
      <c r="Z23" s="3"/>
      <c r="AA23" s="3"/>
      <c r="AB23" s="22"/>
    </row>
    <row r="24" spans="1:28" ht="13.5" customHeight="1">
      <c r="A24" s="9"/>
      <c r="B24" s="10" t="s">
        <v>38</v>
      </c>
      <c r="C24" s="10"/>
      <c r="D24" s="3"/>
      <c r="E24" s="3"/>
      <c r="F24" s="3"/>
      <c r="G24" s="3"/>
      <c r="H24" s="3"/>
      <c r="I24" s="3"/>
      <c r="J24" s="3"/>
      <c r="K24" s="3"/>
      <c r="L24" s="23"/>
      <c r="M24" s="3"/>
      <c r="N24" s="10" t="s">
        <v>39</v>
      </c>
      <c r="O24" s="3"/>
      <c r="P24" s="3"/>
      <c r="Q24" s="180"/>
      <c r="R24" s="3"/>
      <c r="S24" s="10"/>
      <c r="T24" s="10"/>
      <c r="U24" s="10"/>
      <c r="V24" s="10"/>
      <c r="W24" s="3"/>
      <c r="X24" s="10"/>
      <c r="Y24" s="10"/>
      <c r="Z24" s="3"/>
      <c r="AA24" s="14"/>
      <c r="AB24" s="22"/>
    </row>
    <row r="25" spans="1:28" ht="13.5" customHeight="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80"/>
      <c r="R25" s="3"/>
      <c r="S25" s="3"/>
      <c r="T25" s="3"/>
      <c r="U25" s="3"/>
      <c r="V25" s="3"/>
      <c r="W25" s="3"/>
      <c r="X25" s="3"/>
      <c r="Y25" s="3"/>
      <c r="Z25" s="3"/>
      <c r="AA25" s="3"/>
      <c r="AB25" s="22"/>
    </row>
    <row r="26" spans="1:28" ht="13.5" customHeight="1">
      <c r="A26" s="20">
        <v>9</v>
      </c>
      <c r="B26" s="3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87">
        <v>10</v>
      </c>
      <c r="O26" s="3" t="s">
        <v>41</v>
      </c>
      <c r="P26" s="3"/>
      <c r="Q26" s="3"/>
      <c r="R26" s="3"/>
      <c r="S26" s="3"/>
      <c r="T26" s="210"/>
      <c r="U26" s="317"/>
      <c r="V26" s="317"/>
      <c r="W26" s="317"/>
      <c r="X26" s="317"/>
      <c r="Y26" s="317"/>
      <c r="Z26" s="317"/>
      <c r="AA26" s="317"/>
      <c r="AB26" s="340"/>
    </row>
    <row r="27" spans="1:28" ht="6" customHeight="1">
      <c r="A27" s="2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87"/>
      <c r="O27" s="3"/>
      <c r="P27" s="3"/>
      <c r="Q27" s="3"/>
      <c r="R27" s="3"/>
      <c r="S27" s="3"/>
      <c r="T27" s="180"/>
      <c r="U27" s="180"/>
      <c r="V27" s="180"/>
      <c r="W27" s="180"/>
      <c r="X27" s="180"/>
      <c r="Y27" s="180"/>
      <c r="Z27" s="180"/>
      <c r="AA27" s="180"/>
      <c r="AB27" s="26"/>
    </row>
    <row r="28" spans="1:28" ht="16.5" customHeight="1">
      <c r="A28" s="20"/>
      <c r="B28" s="23"/>
      <c r="C28" s="23"/>
      <c r="D28" s="4"/>
      <c r="E28" s="23"/>
      <c r="F28" s="23"/>
      <c r="G28" s="4"/>
      <c r="H28" s="23"/>
      <c r="I28" s="23"/>
      <c r="J28" s="23"/>
      <c r="K28" s="23"/>
      <c r="L28" s="3"/>
      <c r="M28" s="3"/>
      <c r="N28" s="3"/>
      <c r="O28" s="3" t="s">
        <v>42</v>
      </c>
      <c r="P28" s="3"/>
      <c r="Q28" s="187"/>
      <c r="R28" s="3"/>
      <c r="S28" s="3"/>
      <c r="T28" s="3"/>
      <c r="U28" s="3"/>
      <c r="V28" s="210"/>
      <c r="W28" s="317"/>
      <c r="X28" s="317"/>
      <c r="Y28" s="317"/>
      <c r="Z28" s="317"/>
      <c r="AA28" s="317"/>
      <c r="AB28" s="340"/>
    </row>
    <row r="29" spans="1:28" ht="13.5" customHeight="1">
      <c r="A29" s="20"/>
      <c r="B29" s="3"/>
      <c r="C29" s="4"/>
      <c r="D29" s="4"/>
      <c r="E29" s="184"/>
      <c r="F29" s="184"/>
      <c r="G29" s="4"/>
      <c r="H29" s="4"/>
      <c r="I29" s="184"/>
      <c r="J29" s="184"/>
      <c r="K29" s="184"/>
      <c r="L29" s="184"/>
      <c r="M29" s="184"/>
      <c r="N29" s="184"/>
      <c r="O29" s="3"/>
      <c r="P29" s="3"/>
      <c r="Q29" s="187"/>
      <c r="R29" s="3"/>
      <c r="S29" s="217"/>
      <c r="T29" s="317"/>
      <c r="U29" s="317"/>
      <c r="V29" s="317"/>
      <c r="W29" s="187"/>
      <c r="X29" s="187"/>
      <c r="Y29" s="217"/>
      <c r="Z29" s="317"/>
      <c r="AA29" s="317"/>
      <c r="AB29" s="340"/>
    </row>
    <row r="30" spans="1:28" ht="13.5" customHeight="1">
      <c r="A30" s="20">
        <v>11</v>
      </c>
      <c r="B30" s="3" t="s">
        <v>43</v>
      </c>
      <c r="C30" s="3"/>
      <c r="D30" s="3"/>
      <c r="E30" s="210" t="s">
        <v>449</v>
      </c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40"/>
    </row>
    <row r="31" spans="1:28" ht="13.5" customHeight="1">
      <c r="A31" s="20"/>
      <c r="B31" s="3"/>
      <c r="C31" s="3"/>
      <c r="D31" s="3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40"/>
    </row>
    <row r="32" spans="1:28" ht="13.5" customHeight="1">
      <c r="A32" s="20"/>
      <c r="B32" s="3"/>
      <c r="C32" s="3"/>
      <c r="D32" s="3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40"/>
    </row>
    <row r="33" spans="1:28" ht="3" customHeight="1">
      <c r="A33" s="20"/>
      <c r="B33" s="3"/>
      <c r="C33" s="3"/>
      <c r="D33" s="3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28"/>
    </row>
    <row r="34" spans="1:28" ht="13.5" customHeight="1">
      <c r="A34" s="20"/>
      <c r="B34" s="3" t="s">
        <v>44</v>
      </c>
      <c r="C34" s="3"/>
      <c r="D34" s="3"/>
      <c r="E34" s="3"/>
      <c r="F34" s="210"/>
      <c r="G34" s="317"/>
      <c r="H34" s="317"/>
      <c r="I34" s="317"/>
      <c r="J34" s="317"/>
      <c r="K34" s="317"/>
      <c r="L34" s="317"/>
      <c r="M34" s="3"/>
      <c r="N34" s="3" t="s">
        <v>45</v>
      </c>
      <c r="O34" s="3"/>
      <c r="P34" s="210"/>
      <c r="Q34" s="317"/>
      <c r="R34" s="317"/>
      <c r="S34" s="317"/>
      <c r="T34" s="317"/>
      <c r="U34" s="317"/>
      <c r="V34" s="10"/>
      <c r="W34" s="10"/>
      <c r="X34" s="10"/>
      <c r="Y34" s="3"/>
      <c r="Z34" s="3"/>
      <c r="AA34" s="3"/>
      <c r="AB34" s="22"/>
    </row>
    <row r="35" spans="1:28" ht="3" customHeight="1">
      <c r="A35" s="20"/>
      <c r="B35" s="3"/>
      <c r="C35" s="3"/>
      <c r="D35" s="3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28"/>
    </row>
    <row r="36" spans="1:28" ht="13.5" customHeight="1">
      <c r="A36" s="20"/>
      <c r="B36" s="3" t="s">
        <v>46</v>
      </c>
      <c r="C36" s="3"/>
      <c r="D36" s="3"/>
      <c r="E36" s="210"/>
      <c r="F36" s="317"/>
      <c r="G36" s="317"/>
      <c r="H36" s="317"/>
      <c r="I36" s="317"/>
      <c r="J36" s="317"/>
      <c r="K36" s="317"/>
      <c r="L36" s="317"/>
      <c r="M36" s="3"/>
      <c r="N36" s="3"/>
      <c r="O36" s="3"/>
      <c r="P36" s="180"/>
      <c r="Q36" s="180"/>
      <c r="R36" s="180"/>
      <c r="S36" s="180"/>
      <c r="T36" s="180"/>
      <c r="U36" s="180"/>
      <c r="V36" s="10"/>
      <c r="W36" s="10"/>
      <c r="X36" s="10"/>
      <c r="Y36" s="3"/>
      <c r="Z36" s="3"/>
      <c r="AA36" s="3"/>
      <c r="AB36" s="22"/>
    </row>
    <row r="37" spans="1:28" ht="13.5" customHeight="1">
      <c r="A37" s="20"/>
      <c r="B37" s="3"/>
      <c r="C37" s="3"/>
      <c r="D37" s="3"/>
      <c r="E37" s="182"/>
      <c r="F37" s="182"/>
      <c r="G37" s="182"/>
      <c r="H37" s="182"/>
      <c r="I37" s="182"/>
      <c r="J37" s="182"/>
      <c r="K37" s="182"/>
      <c r="L37" s="182"/>
      <c r="M37" s="3"/>
      <c r="N37" s="3"/>
      <c r="O37" s="3"/>
      <c r="P37" s="180"/>
      <c r="Q37" s="180"/>
      <c r="R37" s="180"/>
      <c r="S37" s="180"/>
      <c r="T37" s="180"/>
      <c r="U37" s="180"/>
      <c r="V37" s="10"/>
      <c r="W37" s="10"/>
      <c r="X37" s="10"/>
      <c r="Y37" s="3"/>
      <c r="Z37" s="3"/>
      <c r="AA37" s="3"/>
      <c r="AB37" s="22"/>
    </row>
    <row r="38" spans="1:28" ht="13.5" customHeight="1">
      <c r="A38" s="20">
        <v>12</v>
      </c>
      <c r="B38" s="3" t="s">
        <v>47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2"/>
    </row>
    <row r="39" spans="1:28" ht="15.75" customHeight="1">
      <c r="A39" s="20"/>
      <c r="B39" s="210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40"/>
    </row>
    <row r="40" spans="1:28" ht="13.5" customHeight="1">
      <c r="A40" s="2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26"/>
    </row>
    <row r="41" spans="1:28" ht="13.5" customHeight="1">
      <c r="A41" s="20">
        <v>13</v>
      </c>
      <c r="B41" s="3" t="s">
        <v>48</v>
      </c>
      <c r="C41" s="3"/>
      <c r="D41" s="3"/>
      <c r="E41" s="3"/>
      <c r="F41" s="3"/>
      <c r="G41" s="3"/>
      <c r="H41" s="3"/>
      <c r="I41" s="218" t="s">
        <v>49</v>
      </c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40"/>
    </row>
    <row r="42" spans="1:28" ht="7.5" customHeight="1">
      <c r="A42" s="20"/>
      <c r="B42" s="3"/>
      <c r="C42" s="3"/>
      <c r="D42" s="3"/>
      <c r="E42" s="3"/>
      <c r="F42" s="3"/>
      <c r="G42" s="3"/>
      <c r="H42" s="3"/>
      <c r="I42" s="218"/>
      <c r="J42" s="317"/>
      <c r="K42" s="317"/>
      <c r="L42" s="317"/>
      <c r="M42" s="317"/>
      <c r="N42" s="317"/>
      <c r="O42" s="317"/>
      <c r="P42" s="317"/>
      <c r="Q42" s="187"/>
      <c r="R42" s="3"/>
      <c r="S42" s="3"/>
      <c r="T42" s="3"/>
      <c r="U42" s="3"/>
      <c r="V42" s="218"/>
      <c r="W42" s="317"/>
      <c r="X42" s="317"/>
      <c r="Y42" s="317"/>
      <c r="Z42" s="317"/>
      <c r="AA42" s="317"/>
      <c r="AB42" s="340"/>
    </row>
    <row r="43" spans="1:28" ht="13.5" customHeight="1">
      <c r="A43" s="20"/>
      <c r="B43" s="3" t="s">
        <v>50</v>
      </c>
      <c r="C43" s="3"/>
      <c r="D43" s="3"/>
      <c r="E43" s="3"/>
      <c r="F43" s="3"/>
      <c r="G43" s="3"/>
      <c r="H43" s="3"/>
      <c r="I43" s="3"/>
      <c r="J43" s="3"/>
      <c r="K43" s="3"/>
      <c r="L43" s="210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40"/>
    </row>
    <row r="44" spans="1:28" ht="13.5" customHeight="1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87"/>
      <c r="R44" s="3"/>
      <c r="S44" s="3"/>
      <c r="T44" s="3"/>
      <c r="U44" s="3"/>
      <c r="V44" s="3"/>
      <c r="W44" s="3"/>
      <c r="X44" s="3"/>
      <c r="Y44" s="3"/>
      <c r="Z44" s="3"/>
      <c r="AA44" s="3"/>
      <c r="AB44" s="22"/>
    </row>
    <row r="45" spans="1:28" ht="15" customHeight="1">
      <c r="A45" s="20">
        <v>14</v>
      </c>
      <c r="B45" s="5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87"/>
      <c r="R45" s="3"/>
      <c r="S45" s="3"/>
      <c r="T45" s="3"/>
      <c r="U45" s="3"/>
      <c r="V45" s="3"/>
      <c r="W45" s="3"/>
      <c r="X45" s="3"/>
      <c r="Y45" s="3"/>
      <c r="Z45" s="3"/>
      <c r="AA45" s="3"/>
      <c r="AB45" s="22"/>
    </row>
    <row r="46" spans="1:28" ht="21" customHeight="1">
      <c r="A46" s="20"/>
      <c r="B46" s="210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40"/>
    </row>
    <row r="47" spans="1:28" ht="24" customHeight="1">
      <c r="A47" s="20"/>
      <c r="B47" s="317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40"/>
    </row>
    <row r="48" spans="1:28" ht="21" customHeight="1">
      <c r="A48" s="2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87"/>
      <c r="R48" s="3"/>
      <c r="S48" s="3"/>
      <c r="T48" s="3"/>
      <c r="U48" s="3"/>
      <c r="V48" s="3"/>
      <c r="W48" s="3"/>
      <c r="X48" s="3"/>
      <c r="Y48" s="3"/>
      <c r="Z48" s="3"/>
      <c r="AA48" s="3"/>
      <c r="AB48" s="22"/>
    </row>
    <row r="49" spans="1:28" ht="13.5" customHeight="1" thickBot="1">
      <c r="A49" s="30"/>
      <c r="B49" s="219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192"/>
      <c r="R49" s="220"/>
      <c r="S49" s="342"/>
      <c r="T49" s="342"/>
      <c r="U49" s="342"/>
      <c r="V49" s="342"/>
      <c r="W49" s="342"/>
      <c r="X49" s="342"/>
      <c r="Y49" s="342"/>
      <c r="Z49" s="342"/>
      <c r="AA49" s="342"/>
      <c r="AB49" s="343"/>
    </row>
    <row r="50" spans="1:28" ht="13.5" customHeight="1">
      <c r="A50" s="201"/>
      <c r="B50" s="317"/>
      <c r="C50" s="317"/>
      <c r="D50" s="317"/>
      <c r="E50" s="317"/>
      <c r="F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</row>
    <row r="51" spans="1:28" ht="18" customHeight="1">
      <c r="A51" s="4" t="s">
        <v>52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3"/>
      <c r="R51" s="221">
        <v>45473</v>
      </c>
      <c r="S51" s="317"/>
      <c r="T51" s="317"/>
      <c r="U51" s="317"/>
      <c r="V51" s="317"/>
      <c r="W51" s="317"/>
      <c r="X51" s="317"/>
      <c r="Y51" s="317"/>
      <c r="Z51" s="317"/>
      <c r="AA51" s="317"/>
      <c r="AB51" s="317"/>
    </row>
    <row r="52" spans="1:28" ht="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3"/>
      <c r="R52" s="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</row>
    <row r="53" spans="1:28" ht="17.25" customHeight="1">
      <c r="A53" s="16" t="s">
        <v>16</v>
      </c>
      <c r="B53" s="184"/>
      <c r="C53" s="3"/>
      <c r="D53" s="3"/>
      <c r="E53" s="3"/>
      <c r="F53" s="3"/>
      <c r="G53" s="222" t="str">
        <f>H8</f>
        <v>Samiul Bashar</v>
      </c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</row>
    <row r="54" spans="1:28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 t="s">
        <v>53</v>
      </c>
      <c r="P54" s="4"/>
      <c r="Q54" s="31">
        <f t="shared" ref="Q54:AB54" si="0">F12</f>
        <v>1</v>
      </c>
      <c r="R54" s="31">
        <f t="shared" si="0"/>
        <v>2</v>
      </c>
      <c r="S54" s="31">
        <f t="shared" si="0"/>
        <v>3</v>
      </c>
      <c r="T54" s="32" t="str">
        <f t="shared" si="0"/>
        <v>-</v>
      </c>
      <c r="U54" s="31">
        <f t="shared" si="0"/>
        <v>4</v>
      </c>
      <c r="V54" s="31">
        <f t="shared" si="0"/>
        <v>5</v>
      </c>
      <c r="W54" s="31">
        <f t="shared" si="0"/>
        <v>6</v>
      </c>
      <c r="X54" s="32" t="str">
        <f t="shared" si="0"/>
        <v>-</v>
      </c>
      <c r="Y54" s="31">
        <f t="shared" si="0"/>
        <v>7</v>
      </c>
      <c r="Z54" s="31">
        <f t="shared" si="0"/>
        <v>8</v>
      </c>
      <c r="AA54" s="31">
        <f t="shared" si="0"/>
        <v>9</v>
      </c>
      <c r="AB54" s="31">
        <f t="shared" si="0"/>
        <v>0</v>
      </c>
    </row>
    <row r="55" spans="1:28" ht="10.5" customHeight="1">
      <c r="A55" s="184"/>
      <c r="B55" s="184"/>
      <c r="C55" s="3"/>
      <c r="D55" s="3"/>
      <c r="E55" s="3"/>
      <c r="F55" s="3"/>
      <c r="G55" s="191"/>
      <c r="H55" s="191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</row>
    <row r="56" spans="1:28" ht="13.5" customHeight="1">
      <c r="A56" s="200" t="s">
        <v>54</v>
      </c>
      <c r="B56" s="317"/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201"/>
      <c r="W56" s="317"/>
      <c r="X56" s="317"/>
      <c r="Y56" s="201" t="s">
        <v>55</v>
      </c>
      <c r="Z56" s="317"/>
      <c r="AA56" s="317"/>
      <c r="AB56" s="317"/>
    </row>
    <row r="57" spans="1:28" ht="13.5" customHeight="1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7"/>
      <c r="W57" s="187"/>
      <c r="X57" s="187"/>
      <c r="Y57" s="187"/>
      <c r="Z57" s="187"/>
      <c r="AA57" s="187"/>
      <c r="AB57" s="187"/>
    </row>
    <row r="58" spans="1:28" ht="23.25" customHeight="1">
      <c r="A58" s="34">
        <v>1</v>
      </c>
      <c r="B58" s="195" t="s">
        <v>56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6"/>
      <c r="X58" s="202">
        <f>'Sch1'!T46</f>
        <v>675466.66666666791</v>
      </c>
      <c r="Y58" s="336"/>
      <c r="Z58" s="336"/>
      <c r="AA58" s="336"/>
      <c r="AB58" s="320"/>
    </row>
    <row r="59" spans="1:28" ht="23.25" customHeight="1">
      <c r="A59" s="34">
        <f t="shared" ref="A59:A68" si="1">A58+1</f>
        <v>2</v>
      </c>
      <c r="B59" s="195" t="s">
        <v>57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6"/>
      <c r="X59" s="202">
        <f>'Sch2-3'!V23</f>
        <v>3637000</v>
      </c>
      <c r="Y59" s="336"/>
      <c r="Z59" s="336"/>
      <c r="AA59" s="336"/>
      <c r="AB59" s="320"/>
    </row>
    <row r="60" spans="1:28" ht="23.25" customHeight="1">
      <c r="A60" s="34">
        <f t="shared" si="1"/>
        <v>3</v>
      </c>
      <c r="B60" s="195" t="s">
        <v>58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6"/>
      <c r="X60" s="202">
        <f>'Sch2-3'!U39</f>
        <v>226000</v>
      </c>
      <c r="Y60" s="336"/>
      <c r="Z60" s="336"/>
      <c r="AA60" s="336"/>
      <c r="AB60" s="320"/>
    </row>
    <row r="61" spans="1:28" ht="23.25" customHeight="1">
      <c r="A61" s="34">
        <f t="shared" si="1"/>
        <v>4</v>
      </c>
      <c r="B61" s="195" t="s">
        <v>59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6"/>
      <c r="X61" s="202">
        <f>'Sch4-5'!T16</f>
        <v>454000</v>
      </c>
      <c r="Y61" s="336"/>
      <c r="Z61" s="336"/>
      <c r="AA61" s="336"/>
      <c r="AB61" s="320"/>
    </row>
    <row r="62" spans="1:28" ht="23.25" customHeight="1">
      <c r="A62" s="34">
        <f t="shared" si="1"/>
        <v>5</v>
      </c>
      <c r="B62" s="195" t="s">
        <v>60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6"/>
      <c r="X62" s="202">
        <v>0</v>
      </c>
      <c r="Y62" s="336"/>
      <c r="Z62" s="336"/>
      <c r="AA62" s="336"/>
      <c r="AB62" s="320"/>
    </row>
    <row r="63" spans="1:28" ht="23.25" customHeight="1">
      <c r="A63" s="34">
        <f t="shared" si="1"/>
        <v>6</v>
      </c>
      <c r="B63" s="195" t="s">
        <v>61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6"/>
      <c r="X63" s="202">
        <f>'Income from Financial Assets'!C14</f>
        <v>85500</v>
      </c>
      <c r="Y63" s="336"/>
      <c r="Z63" s="336"/>
      <c r="AA63" s="336"/>
      <c r="AB63" s="320"/>
    </row>
    <row r="64" spans="1:28" ht="23.25" customHeight="1">
      <c r="A64" s="34">
        <f t="shared" si="1"/>
        <v>7</v>
      </c>
      <c r="B64" s="195" t="s">
        <v>62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6"/>
      <c r="X64" s="202">
        <f>'Income from Other Sources'!C5</f>
        <v>155000</v>
      </c>
      <c r="Y64" s="336"/>
      <c r="Z64" s="336"/>
      <c r="AA64" s="336"/>
      <c r="AB64" s="320"/>
    </row>
    <row r="65" spans="1:28" ht="23.25" customHeight="1">
      <c r="A65" s="34">
        <f t="shared" si="1"/>
        <v>8</v>
      </c>
      <c r="B65" s="195" t="s">
        <v>63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6"/>
      <c r="X65" s="202">
        <f>'Income from Firm'!C4</f>
        <v>150000</v>
      </c>
      <c r="Y65" s="336"/>
      <c r="Z65" s="336"/>
      <c r="AA65" s="336"/>
      <c r="AB65" s="320"/>
    </row>
    <row r="66" spans="1:28" ht="23.25" customHeight="1">
      <c r="A66" s="34">
        <f t="shared" si="1"/>
        <v>9</v>
      </c>
      <c r="B66" s="195" t="s">
        <v>64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6"/>
      <c r="X66" s="202">
        <v>0</v>
      </c>
      <c r="Y66" s="336"/>
      <c r="Z66" s="336"/>
      <c r="AA66" s="336"/>
      <c r="AB66" s="320"/>
    </row>
    <row r="67" spans="1:28" ht="23.25" customHeight="1">
      <c r="A67" s="34">
        <f t="shared" si="1"/>
        <v>10</v>
      </c>
      <c r="B67" s="23" t="s">
        <v>65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6"/>
      <c r="X67" s="202">
        <v>0</v>
      </c>
      <c r="Y67" s="336"/>
      <c r="Z67" s="336"/>
      <c r="AA67" s="336"/>
      <c r="AB67" s="320"/>
    </row>
    <row r="68" spans="1:28" ht="23.25" customHeight="1">
      <c r="A68" s="34">
        <f t="shared" si="1"/>
        <v>11</v>
      </c>
      <c r="B68" s="23" t="s">
        <v>66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6"/>
      <c r="X68" s="202">
        <f>SUM(X58:AB67)</f>
        <v>5382966.6666666679</v>
      </c>
      <c r="Y68" s="336"/>
      <c r="Z68" s="336"/>
      <c r="AA68" s="336"/>
      <c r="AB68" s="320"/>
    </row>
    <row r="69" spans="1:28" ht="13.5" customHeight="1">
      <c r="A69" s="187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7"/>
      <c r="W69" s="187"/>
      <c r="X69" s="187"/>
      <c r="Y69" s="38"/>
      <c r="Z69" s="38"/>
      <c r="AA69" s="38"/>
      <c r="AB69" s="38"/>
    </row>
    <row r="70" spans="1:28" ht="13.5" customHeight="1">
      <c r="A70" s="200" t="s">
        <v>67</v>
      </c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201" t="s">
        <v>68</v>
      </c>
      <c r="Z70" s="317"/>
      <c r="AA70" s="317"/>
      <c r="AB70" s="317"/>
    </row>
    <row r="71" spans="1:28" ht="8.25" customHeight="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84"/>
      <c r="Z71" s="184"/>
      <c r="AA71" s="184"/>
      <c r="AB71" s="184"/>
    </row>
    <row r="72" spans="1:28" ht="23.25" customHeight="1">
      <c r="A72" s="34">
        <f>A68+1</f>
        <v>12</v>
      </c>
      <c r="B72" s="195" t="s">
        <v>69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233">
        <f>'Tax and Rebate Calculation'!D21</f>
        <v>1161890.0000000005</v>
      </c>
      <c r="Y72" s="344"/>
      <c r="Z72" s="344"/>
      <c r="AA72" s="344"/>
      <c r="AB72" s="345"/>
    </row>
    <row r="73" spans="1:28" ht="23.25" customHeight="1">
      <c r="A73" s="34">
        <f t="shared" ref="A73:A77" si="2">A72+1</f>
        <v>13</v>
      </c>
      <c r="B73" s="195" t="s">
        <v>70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223">
        <f>'Tax and Rebate Calculation'!C28</f>
        <v>138900</v>
      </c>
      <c r="Y73" s="336"/>
      <c r="Z73" s="336"/>
      <c r="AA73" s="336"/>
      <c r="AB73" s="320"/>
    </row>
    <row r="74" spans="1:28" ht="23.25" customHeight="1">
      <c r="A74" s="34">
        <f t="shared" si="2"/>
        <v>14</v>
      </c>
      <c r="B74" s="195" t="s">
        <v>71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223">
        <f>IF(X72&lt;=0,0,X72-X73)</f>
        <v>1022990.0000000005</v>
      </c>
      <c r="Y74" s="336"/>
      <c r="Z74" s="336"/>
      <c r="AA74" s="336"/>
      <c r="AB74" s="320"/>
    </row>
    <row r="75" spans="1:28" ht="23.25" customHeight="1">
      <c r="A75" s="34">
        <f t="shared" si="2"/>
        <v>15</v>
      </c>
      <c r="B75" s="195" t="s">
        <v>72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223">
        <f>'Tax and Rebate Calculation'!C33</f>
        <v>13000</v>
      </c>
      <c r="Y75" s="336"/>
      <c r="Z75" s="336"/>
      <c r="AA75" s="336"/>
      <c r="AB75" s="320"/>
    </row>
    <row r="76" spans="1:28" ht="23.25" customHeight="1">
      <c r="A76" s="34">
        <f t="shared" si="2"/>
        <v>16</v>
      </c>
      <c r="B76" s="195" t="s">
        <v>73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223">
        <f>MAX(X74,X75)</f>
        <v>1022990.0000000005</v>
      </c>
      <c r="Y76" s="336"/>
      <c r="Z76" s="336"/>
      <c r="AA76" s="336"/>
      <c r="AB76" s="320"/>
    </row>
    <row r="77" spans="1:28" ht="23.25" customHeight="1">
      <c r="A77" s="236">
        <f t="shared" si="2"/>
        <v>17</v>
      </c>
      <c r="B77" s="195" t="s">
        <v>74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224">
        <f>ROUND(MAX(IF(AND('IT-10B23'!U29&gt;40000000,'IT-10B23'!U29&lt;100000000),X76*10%,0),IF(AND('IT-10B23'!U29&gt;100000000,'IT-10B23'!U29&lt;200000000),X76*20%,0),IF(AND('IT-10B23'!U29&gt;200000000,'IT-10B23'!U29&lt;500000000),X76*30%,0),IF('IT-10B23'!U29&gt;500000000,X76*35%,0)),0)</f>
        <v>0</v>
      </c>
      <c r="T77" s="336"/>
      <c r="U77" s="336"/>
      <c r="V77" s="336"/>
      <c r="W77" s="320"/>
      <c r="X77" s="225">
        <f>SUM(S77:W78)</f>
        <v>0</v>
      </c>
      <c r="Y77" s="346"/>
      <c r="Z77" s="346"/>
      <c r="AA77" s="346"/>
      <c r="AB77" s="347"/>
    </row>
    <row r="78" spans="1:28" ht="23.25" customHeight="1">
      <c r="A78" s="348"/>
      <c r="B78" s="195" t="s">
        <v>75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231"/>
      <c r="T78" s="336"/>
      <c r="U78" s="336"/>
      <c r="V78" s="336"/>
      <c r="W78" s="320"/>
      <c r="X78" s="349"/>
      <c r="Y78" s="350"/>
      <c r="Z78" s="350"/>
      <c r="AA78" s="350"/>
      <c r="AB78" s="351"/>
    </row>
    <row r="79" spans="1:28" ht="23.25" customHeight="1">
      <c r="A79" s="34">
        <f>A77+1</f>
        <v>18</v>
      </c>
      <c r="B79" s="195" t="s">
        <v>76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223">
        <v>0</v>
      </c>
      <c r="Y79" s="336"/>
      <c r="Z79" s="336"/>
      <c r="AA79" s="336"/>
      <c r="AB79" s="320"/>
    </row>
    <row r="80" spans="1:28" ht="23.25" customHeight="1">
      <c r="A80" s="34">
        <f>A79+1</f>
        <v>19</v>
      </c>
      <c r="B80" s="40" t="s">
        <v>77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232">
        <f>X76+X77+X79</f>
        <v>1022990.0000000005</v>
      </c>
      <c r="Y80" s="336"/>
      <c r="Z80" s="336"/>
      <c r="AA80" s="336"/>
      <c r="AB80" s="320"/>
    </row>
    <row r="81" spans="1:28" ht="21" customHeight="1">
      <c r="A81" s="18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2"/>
      <c r="Y81" s="42"/>
      <c r="Z81" s="42"/>
      <c r="AA81" s="42"/>
      <c r="AB81" s="42"/>
    </row>
    <row r="82" spans="1:28" ht="21" customHeight="1">
      <c r="A82" s="18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2"/>
      <c r="Y82" s="42"/>
      <c r="Z82" s="42"/>
      <c r="AA82" s="42"/>
      <c r="AB82" s="42"/>
    </row>
    <row r="83" spans="1:28" ht="21" customHeight="1">
      <c r="A83" s="18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U83" s="4"/>
      <c r="V83" s="4"/>
      <c r="W83" s="4"/>
      <c r="X83" s="42"/>
      <c r="Y83" s="42"/>
      <c r="AA83" s="42"/>
      <c r="AB83" s="4"/>
    </row>
    <row r="84" spans="1:28" ht="21" customHeight="1">
      <c r="A84" s="18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2"/>
      <c r="Y84" s="42"/>
      <c r="Z84" s="42"/>
      <c r="AA84" s="42"/>
      <c r="AB84" s="42"/>
    </row>
    <row r="85" spans="1:28" ht="21" customHeight="1">
      <c r="A85" s="18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2"/>
      <c r="Y85" s="42"/>
      <c r="Z85" s="42"/>
      <c r="AA85" s="42"/>
      <c r="AB85" s="42"/>
    </row>
    <row r="86" spans="1:28" ht="13.5" customHeight="1">
      <c r="A86" s="200" t="s">
        <v>78</v>
      </c>
      <c r="B86" s="317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201"/>
      <c r="Z86" s="317"/>
      <c r="AA86" s="317"/>
      <c r="AB86" s="317"/>
    </row>
    <row r="87" spans="1:28" ht="13.5" customHeight="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84"/>
      <c r="Z87" s="184"/>
      <c r="AA87" s="184"/>
      <c r="AB87" s="184"/>
    </row>
    <row r="88" spans="1:28" ht="21" customHeight="1">
      <c r="A88" s="34">
        <f>A80+1</f>
        <v>20</v>
      </c>
      <c r="B88" s="195" t="s">
        <v>79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202">
        <f>'Tax and Rebate Calculation'!H23</f>
        <v>19000</v>
      </c>
      <c r="T88" s="336"/>
      <c r="U88" s="336"/>
      <c r="V88" s="336"/>
      <c r="W88" s="320"/>
      <c r="X88" s="225"/>
      <c r="Y88" s="346"/>
      <c r="Z88" s="346"/>
      <c r="AA88" s="346"/>
      <c r="AB88" s="347"/>
    </row>
    <row r="89" spans="1:28" ht="21" customHeight="1">
      <c r="A89" s="34">
        <f t="shared" ref="A89:A93" si="3">A88+1</f>
        <v>21</v>
      </c>
      <c r="B89" s="195" t="s">
        <v>80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202">
        <v>0</v>
      </c>
      <c r="T89" s="336"/>
      <c r="U89" s="336"/>
      <c r="V89" s="336"/>
      <c r="W89" s="320"/>
      <c r="X89" s="337"/>
      <c r="Y89" s="317"/>
      <c r="Z89" s="317"/>
      <c r="AA89" s="317"/>
      <c r="AB89" s="341"/>
    </row>
    <row r="90" spans="1:28" ht="21" customHeight="1">
      <c r="A90" s="34">
        <f t="shared" si="3"/>
        <v>22</v>
      </c>
      <c r="B90" s="195" t="s">
        <v>81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202">
        <v>0</v>
      </c>
      <c r="T90" s="336"/>
      <c r="U90" s="336"/>
      <c r="V90" s="336"/>
      <c r="W90" s="320"/>
      <c r="X90" s="337"/>
      <c r="Y90" s="317"/>
      <c r="Z90" s="317"/>
      <c r="AA90" s="317"/>
      <c r="AB90" s="341"/>
    </row>
    <row r="91" spans="1:28" ht="21" customHeight="1">
      <c r="A91" s="34">
        <f t="shared" si="3"/>
        <v>23</v>
      </c>
      <c r="B91" s="195" t="s">
        <v>82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202">
        <f>X80-S88-S89-S90</f>
        <v>1003990.0000000005</v>
      </c>
      <c r="T91" s="336"/>
      <c r="U91" s="336"/>
      <c r="V91" s="336"/>
      <c r="W91" s="320"/>
      <c r="X91" s="337"/>
      <c r="Y91" s="317"/>
      <c r="Z91" s="317"/>
      <c r="AA91" s="317"/>
      <c r="AB91" s="341"/>
    </row>
    <row r="92" spans="1:28" ht="21" customHeight="1">
      <c r="A92" s="34">
        <f t="shared" si="3"/>
        <v>24</v>
      </c>
      <c r="B92" s="195" t="s">
        <v>83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202">
        <f>SUM(S88:W91)</f>
        <v>1022990.0000000005</v>
      </c>
      <c r="T92" s="336"/>
      <c r="U92" s="336"/>
      <c r="V92" s="336"/>
      <c r="W92" s="320"/>
      <c r="X92" s="349"/>
      <c r="Y92" s="350"/>
      <c r="Z92" s="350"/>
      <c r="AA92" s="350"/>
      <c r="AB92" s="351"/>
    </row>
    <row r="93" spans="1:28" ht="21" customHeight="1">
      <c r="A93" s="34">
        <f t="shared" si="3"/>
        <v>25</v>
      </c>
      <c r="B93" s="195" t="s">
        <v>84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202">
        <f>X80-S92</f>
        <v>0</v>
      </c>
      <c r="T93" s="336"/>
      <c r="U93" s="336"/>
      <c r="V93" s="336"/>
      <c r="W93" s="320"/>
      <c r="X93" s="43"/>
      <c r="Y93" s="44"/>
      <c r="Z93" s="44"/>
      <c r="AA93" s="44"/>
      <c r="AB93" s="45"/>
    </row>
    <row r="94" spans="1:28" ht="21" customHeight="1">
      <c r="A94" s="18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46"/>
      <c r="T94" s="46"/>
      <c r="U94" s="46"/>
      <c r="V94" s="46"/>
      <c r="W94" s="46"/>
      <c r="X94" s="47"/>
      <c r="Y94" s="47"/>
      <c r="Z94" s="47"/>
      <c r="AA94" s="47"/>
      <c r="AB94" s="47"/>
    </row>
    <row r="95" spans="1:28" ht="21" customHeight="1">
      <c r="A95" s="34">
        <f>A93+1</f>
        <v>26</v>
      </c>
      <c r="B95" s="195" t="s">
        <v>85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223">
        <f>'Sch1'!T45</f>
        <v>25418133.333333332</v>
      </c>
      <c r="Y95" s="336"/>
      <c r="Z95" s="336"/>
      <c r="AA95" s="336"/>
      <c r="AB95" s="320"/>
    </row>
    <row r="96" spans="1:28" ht="18.75" customHeight="1">
      <c r="A96" s="184"/>
      <c r="B96" s="184"/>
      <c r="C96" s="3"/>
      <c r="D96" s="3"/>
      <c r="E96" s="3"/>
      <c r="F96" s="3"/>
      <c r="G96" s="191"/>
      <c r="H96" s="191"/>
      <c r="I96" s="184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184"/>
      <c r="X96" s="184"/>
      <c r="Y96" s="184"/>
      <c r="Z96" s="184"/>
      <c r="AA96" s="184"/>
      <c r="AB96" s="184"/>
    </row>
    <row r="97" spans="1:28" ht="18.75" customHeight="1">
      <c r="A97" s="241" t="s">
        <v>86</v>
      </c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  <c r="Y97" s="346"/>
      <c r="Z97" s="346"/>
      <c r="AA97" s="346"/>
      <c r="AB97" s="347"/>
    </row>
    <row r="98" spans="1:28" ht="13.5" customHeight="1">
      <c r="A98" s="4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50"/>
    </row>
    <row r="99" spans="1:28" ht="13.5" customHeight="1">
      <c r="A99" s="49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51"/>
    </row>
    <row r="100" spans="1:28" ht="13.5" customHeight="1">
      <c r="A100" s="49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51"/>
    </row>
    <row r="101" spans="1:28" ht="13.5" customHeight="1">
      <c r="A101" s="49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51"/>
    </row>
    <row r="102" spans="1:28" ht="13.5" customHeight="1">
      <c r="A102" s="49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51"/>
    </row>
    <row r="103" spans="1:28" ht="13.5" customHeight="1">
      <c r="A103" s="49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51"/>
    </row>
    <row r="104" spans="1:28" ht="13.5" customHeight="1">
      <c r="A104" s="49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51"/>
    </row>
    <row r="105" spans="1:28" ht="13.5" customHeight="1">
      <c r="A105" s="49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51"/>
    </row>
    <row r="106" spans="1:28" ht="13.5" customHeight="1">
      <c r="A106" s="49"/>
      <c r="B106" s="218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41"/>
    </row>
    <row r="107" spans="1:28" ht="15" customHeight="1">
      <c r="A107" s="189"/>
      <c r="B107" s="242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350"/>
      <c r="AB107" s="351"/>
    </row>
    <row r="108" spans="1:28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8.75" customHeight="1">
      <c r="A109" s="243" t="s">
        <v>87</v>
      </c>
      <c r="B109" s="317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</row>
    <row r="110" spans="1:28" ht="18.75" customHeight="1">
      <c r="A110" s="3"/>
      <c r="B110" s="188" t="s">
        <v>88</v>
      </c>
      <c r="C110" s="244" t="str">
        <f>G53</f>
        <v>Samiul Bashar</v>
      </c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</row>
    <row r="111" spans="1:28" ht="6" customHeight="1">
      <c r="A111" s="3"/>
      <c r="B111" s="188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</row>
    <row r="112" spans="1:28" ht="18.75" customHeight="1">
      <c r="A112" s="3"/>
      <c r="B112" s="188" t="s">
        <v>89</v>
      </c>
      <c r="C112" s="185"/>
      <c r="D112" s="185"/>
      <c r="E112" s="3"/>
      <c r="F112" s="3"/>
      <c r="G112" s="244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7"/>
      <c r="AB112" s="317"/>
    </row>
    <row r="113" spans="1:28" ht="7.5" customHeight="1">
      <c r="A113" s="3"/>
      <c r="B113" s="188"/>
      <c r="C113" s="185"/>
      <c r="D113" s="185"/>
      <c r="E113" s="3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</row>
    <row r="114" spans="1:28" ht="18.75" customHeight="1">
      <c r="A114" s="3"/>
      <c r="B114" s="4" t="s">
        <v>53</v>
      </c>
      <c r="C114" s="4"/>
      <c r="D114" s="31">
        <f t="shared" ref="D114:O114" si="4">Q54</f>
        <v>1</v>
      </c>
      <c r="E114" s="31">
        <f t="shared" si="4"/>
        <v>2</v>
      </c>
      <c r="F114" s="31">
        <f t="shared" si="4"/>
        <v>3</v>
      </c>
      <c r="G114" s="31" t="str">
        <f t="shared" si="4"/>
        <v>-</v>
      </c>
      <c r="H114" s="31">
        <f t="shared" si="4"/>
        <v>4</v>
      </c>
      <c r="I114" s="31">
        <f t="shared" si="4"/>
        <v>5</v>
      </c>
      <c r="J114" s="31">
        <f t="shared" si="4"/>
        <v>6</v>
      </c>
      <c r="K114" s="31" t="str">
        <f t="shared" si="4"/>
        <v>-</v>
      </c>
      <c r="L114" s="31">
        <f t="shared" si="4"/>
        <v>7</v>
      </c>
      <c r="M114" s="31">
        <f t="shared" si="4"/>
        <v>8</v>
      </c>
      <c r="N114" s="31">
        <f t="shared" si="4"/>
        <v>9</v>
      </c>
      <c r="O114" s="55">
        <f t="shared" si="4"/>
        <v>0</v>
      </c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</row>
    <row r="115" spans="1:28" ht="6" customHeight="1">
      <c r="A115" s="3"/>
      <c r="B115" s="4"/>
      <c r="C115" s="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</row>
    <row r="116" spans="1:28" ht="13.5" customHeight="1">
      <c r="A116" s="3"/>
      <c r="B116" s="245" t="s">
        <v>90</v>
      </c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7"/>
      <c r="AB116" s="317"/>
    </row>
    <row r="117" spans="1:28" ht="13.5" customHeight="1">
      <c r="A117" s="3"/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</row>
    <row r="118" spans="1:28" ht="13.5" customHeight="1">
      <c r="A118" s="3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</row>
    <row r="119" spans="1:28" ht="13.5" customHeight="1">
      <c r="A119" s="3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</row>
    <row r="120" spans="1:28" ht="13.5" customHeight="1">
      <c r="A120" s="3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</row>
    <row r="121" spans="1:28" ht="13.5" customHeight="1">
      <c r="A121" s="3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</row>
    <row r="122" spans="1:28" ht="13.5" customHeight="1">
      <c r="A122" s="3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 spans="1:28" ht="13.5" customHeight="1">
      <c r="A123" s="3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246"/>
      <c r="R123" s="352"/>
      <c r="S123" s="352"/>
      <c r="T123" s="352"/>
      <c r="U123" s="352"/>
      <c r="V123" s="352"/>
      <c r="W123" s="352"/>
      <c r="X123" s="352"/>
      <c r="Y123" s="352"/>
      <c r="Z123" s="352"/>
      <c r="AA123" s="352"/>
      <c r="AB123" s="352"/>
    </row>
    <row r="124" spans="1:28" ht="18.75" customHeight="1">
      <c r="A124" s="3"/>
      <c r="B124" s="3" t="s">
        <v>91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217" t="s">
        <v>92</v>
      </c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</row>
    <row r="125" spans="1:28" ht="18.75" customHeight="1">
      <c r="A125" s="3"/>
      <c r="B125" s="3" t="s">
        <v>93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247" t="str">
        <f>C110</f>
        <v>Samiul Bashar</v>
      </c>
      <c r="R125" s="317"/>
      <c r="S125" s="317"/>
      <c r="T125" s="317"/>
      <c r="U125" s="317"/>
      <c r="V125" s="317"/>
      <c r="W125" s="317"/>
      <c r="X125" s="317"/>
      <c r="Y125" s="317"/>
      <c r="Z125" s="317"/>
      <c r="AA125" s="317"/>
      <c r="AB125" s="317"/>
    </row>
    <row r="126" spans="1:28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248" t="s">
        <v>94</v>
      </c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</row>
    <row r="127" spans="1:28" ht="18.75" customHeight="1">
      <c r="A127" s="3"/>
      <c r="B127" s="187"/>
      <c r="C127" s="3"/>
      <c r="D127" s="3"/>
      <c r="E127" s="187"/>
      <c r="F127" s="187"/>
      <c r="G127" s="3"/>
      <c r="H127" s="3"/>
      <c r="I127" s="187"/>
      <c r="J127" s="187"/>
      <c r="K127" s="187"/>
      <c r="L127" s="187"/>
      <c r="M127" s="187"/>
      <c r="N127" s="187"/>
      <c r="O127" s="3"/>
      <c r="P127" s="3"/>
      <c r="Q127" s="3"/>
      <c r="R127" s="3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3.5" customHeight="1">
      <c r="A128" s="3"/>
      <c r="B128" s="3"/>
      <c r="C128" s="187"/>
      <c r="D128" s="187"/>
      <c r="E128" s="3"/>
      <c r="F128" s="187"/>
      <c r="G128" s="187"/>
      <c r="H128" s="187"/>
      <c r="I128" s="3"/>
      <c r="J128" s="187"/>
      <c r="K128" s="187"/>
      <c r="L128" s="187"/>
      <c r="M128" s="187"/>
      <c r="N128" s="18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3.5" customHeight="1">
      <c r="A129" s="3"/>
      <c r="B129" s="3"/>
      <c r="C129" s="187"/>
      <c r="D129" s="187"/>
      <c r="E129" s="3"/>
      <c r="F129" s="187"/>
      <c r="G129" s="187"/>
      <c r="H129" s="187"/>
      <c r="I129" s="3"/>
      <c r="J129" s="187"/>
      <c r="K129" s="187"/>
      <c r="L129" s="187"/>
      <c r="M129" s="187"/>
      <c r="N129" s="18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3.5" customHeight="1">
      <c r="A130" s="3"/>
      <c r="B130" s="3"/>
      <c r="C130" s="187"/>
      <c r="D130" s="187"/>
      <c r="E130" s="3"/>
      <c r="F130" s="187"/>
      <c r="G130" s="187"/>
      <c r="H130" s="187"/>
      <c r="I130" s="3"/>
      <c r="J130" s="187"/>
      <c r="K130" s="187"/>
      <c r="L130" s="187"/>
      <c r="M130" s="187"/>
      <c r="N130" s="187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3.5" customHeight="1">
      <c r="A131" s="58"/>
      <c r="B131" s="59"/>
      <c r="C131" s="38"/>
      <c r="D131" s="38"/>
      <c r="E131" s="59"/>
      <c r="F131" s="38"/>
      <c r="G131" s="38"/>
      <c r="H131" s="38"/>
      <c r="I131" s="59"/>
      <c r="J131" s="38"/>
      <c r="K131" s="38"/>
      <c r="L131" s="38"/>
      <c r="M131" s="38"/>
      <c r="N131" s="38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60"/>
    </row>
    <row r="132" spans="1:28" ht="13.5" customHeight="1">
      <c r="A132" s="61"/>
      <c r="B132" s="3"/>
      <c r="C132" s="187"/>
      <c r="D132" s="187"/>
      <c r="E132" s="3"/>
      <c r="F132" s="187"/>
      <c r="G132" s="187"/>
      <c r="H132" s="187"/>
      <c r="I132" s="3"/>
      <c r="J132" s="187"/>
      <c r="K132" s="187"/>
      <c r="L132" s="187"/>
      <c r="M132" s="187"/>
      <c r="N132" s="18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62"/>
    </row>
    <row r="133" spans="1:28" ht="13.5" customHeight="1">
      <c r="A133" s="61"/>
      <c r="B133" s="3"/>
      <c r="C133" s="187"/>
      <c r="D133" s="187"/>
      <c r="E133" s="3"/>
      <c r="F133" s="187"/>
      <c r="G133" s="187"/>
      <c r="H133" s="187"/>
      <c r="I133" s="3"/>
      <c r="J133" s="187"/>
      <c r="K133" s="187"/>
      <c r="L133" s="187"/>
      <c r="M133" s="187"/>
      <c r="N133" s="18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62"/>
    </row>
    <row r="134" spans="1:28" ht="13.5" customHeight="1">
      <c r="A134" s="61"/>
      <c r="B134" s="3"/>
      <c r="C134" s="187"/>
      <c r="D134" s="187"/>
      <c r="E134" s="3"/>
      <c r="F134" s="187"/>
      <c r="G134" s="187"/>
      <c r="H134" s="187"/>
      <c r="I134" s="3"/>
      <c r="J134" s="187"/>
      <c r="K134" s="187"/>
      <c r="L134" s="187"/>
      <c r="M134" s="187"/>
      <c r="N134" s="187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62"/>
    </row>
    <row r="135" spans="1:28" ht="13.5" customHeight="1">
      <c r="A135" s="61"/>
      <c r="B135" s="3"/>
      <c r="C135" s="187"/>
      <c r="D135" s="187"/>
      <c r="E135" s="3"/>
      <c r="F135" s="187"/>
      <c r="G135" s="187"/>
      <c r="H135" s="187"/>
      <c r="I135" s="3"/>
      <c r="J135" s="187"/>
      <c r="K135" s="187"/>
      <c r="L135" s="187"/>
      <c r="M135" s="187"/>
      <c r="N135" s="187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62"/>
    </row>
    <row r="136" spans="1:28" ht="13.5" customHeight="1">
      <c r="A136" s="61"/>
      <c r="B136" s="3"/>
      <c r="C136" s="187"/>
      <c r="D136" s="187"/>
      <c r="E136" s="3"/>
      <c r="F136" s="187"/>
      <c r="G136" s="187"/>
      <c r="H136" s="187"/>
      <c r="I136" s="3"/>
      <c r="J136" s="187"/>
      <c r="K136" s="187"/>
      <c r="L136" s="187"/>
      <c r="M136" s="187"/>
      <c r="N136" s="18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62"/>
    </row>
    <row r="137" spans="1:28" ht="13.5" customHeight="1">
      <c r="A137" s="249" t="s">
        <v>95</v>
      </c>
      <c r="B137" s="317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41"/>
    </row>
    <row r="138" spans="1:28" ht="13.5" customHeight="1">
      <c r="A138" s="249" t="s">
        <v>7</v>
      </c>
      <c r="B138" s="317"/>
      <c r="C138" s="317"/>
      <c r="D138" s="317"/>
      <c r="E138" s="317"/>
      <c r="F138" s="317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41"/>
    </row>
    <row r="139" spans="1:28" ht="13.5" customHeight="1">
      <c r="A139" s="249" t="s">
        <v>96</v>
      </c>
      <c r="B139" s="317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  <c r="AB139" s="341"/>
    </row>
    <row r="140" spans="1:28" ht="13.5" customHeight="1">
      <c r="A140" s="181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63"/>
    </row>
    <row r="141" spans="1:28" ht="13.5" customHeight="1">
      <c r="A141" s="353" t="s">
        <v>97</v>
      </c>
      <c r="B141" s="317"/>
      <c r="C141" s="317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  <c r="AA141" s="317"/>
      <c r="AB141" s="341"/>
    </row>
    <row r="142" spans="1:28" ht="13.5" customHeight="1">
      <c r="A142" s="6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65"/>
    </row>
    <row r="143" spans="1:28" ht="13.5" customHeight="1">
      <c r="A143" s="181"/>
      <c r="B143" s="184"/>
      <c r="C143" s="184"/>
      <c r="D143" s="184"/>
      <c r="E143" s="184"/>
      <c r="F143" s="184"/>
      <c r="G143" s="184"/>
      <c r="H143" s="184"/>
      <c r="I143" s="184"/>
      <c r="J143" s="191" t="s">
        <v>98</v>
      </c>
      <c r="K143" s="184"/>
      <c r="L143" s="184"/>
      <c r="M143" s="184"/>
      <c r="N143" s="184"/>
      <c r="O143" s="210" t="str">
        <f>H16</f>
        <v>2025-2026</v>
      </c>
      <c r="P143" s="317"/>
      <c r="Q143" s="317"/>
      <c r="R143" s="317"/>
      <c r="S143" s="317"/>
      <c r="T143" s="184"/>
      <c r="U143" s="184"/>
      <c r="V143" s="184"/>
      <c r="W143" s="184"/>
      <c r="X143" s="184"/>
      <c r="Y143" s="184"/>
      <c r="Z143" s="184"/>
      <c r="AA143" s="184"/>
      <c r="AB143" s="63"/>
    </row>
    <row r="144" spans="1:28" ht="13.5" customHeight="1">
      <c r="A144" s="181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63"/>
    </row>
    <row r="145" spans="1:28" ht="13.5" customHeight="1">
      <c r="A145" s="66" t="s">
        <v>99</v>
      </c>
      <c r="B145" s="10"/>
      <c r="C145" s="10"/>
      <c r="D145" s="10"/>
      <c r="E145" s="10"/>
      <c r="F145" s="10"/>
      <c r="G145" s="222" t="str">
        <f>C110</f>
        <v>Samiul Bashar</v>
      </c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41"/>
    </row>
    <row r="146" spans="1:28" ht="12" customHeight="1">
      <c r="A146" s="66"/>
      <c r="B146" s="10"/>
      <c r="C146" s="10"/>
      <c r="D146" s="10"/>
      <c r="E146" s="10"/>
      <c r="F146" s="10"/>
      <c r="G146" s="183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67"/>
    </row>
    <row r="147" spans="1:28" ht="13.5" customHeight="1">
      <c r="A147" s="61" t="s">
        <v>18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210">
        <f>Q10</f>
        <v>0</v>
      </c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41"/>
    </row>
    <row r="148" spans="1:28" ht="14.25" customHeight="1">
      <c r="A148" s="6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67"/>
    </row>
    <row r="149" spans="1:28" ht="18.75" customHeight="1">
      <c r="A149" s="64" t="s">
        <v>53</v>
      </c>
      <c r="B149" s="4"/>
      <c r="C149" s="31">
        <f t="shared" ref="C149:N149" si="5">D114</f>
        <v>1</v>
      </c>
      <c r="D149" s="31">
        <f t="shared" si="5"/>
        <v>2</v>
      </c>
      <c r="E149" s="31">
        <f t="shared" si="5"/>
        <v>3</v>
      </c>
      <c r="F149" s="31" t="str">
        <f t="shared" si="5"/>
        <v>-</v>
      </c>
      <c r="G149" s="31">
        <f t="shared" si="5"/>
        <v>4</v>
      </c>
      <c r="H149" s="31">
        <f t="shared" si="5"/>
        <v>5</v>
      </c>
      <c r="I149" s="31">
        <f t="shared" si="5"/>
        <v>6</v>
      </c>
      <c r="J149" s="31" t="str">
        <f t="shared" si="5"/>
        <v>-</v>
      </c>
      <c r="K149" s="31">
        <f t="shared" si="5"/>
        <v>7</v>
      </c>
      <c r="L149" s="31">
        <f t="shared" si="5"/>
        <v>8</v>
      </c>
      <c r="M149" s="31">
        <f t="shared" si="5"/>
        <v>9</v>
      </c>
      <c r="N149" s="55">
        <f t="shared" si="5"/>
        <v>0</v>
      </c>
      <c r="O149" s="10"/>
      <c r="P149" s="10"/>
      <c r="Q149" s="18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68"/>
    </row>
    <row r="150" spans="1:28" ht="13.5" customHeight="1">
      <c r="A150" s="249"/>
      <c r="B150" s="317"/>
      <c r="C150" s="201"/>
      <c r="D150" s="317"/>
      <c r="E150" s="201"/>
      <c r="F150" s="317"/>
      <c r="G150" s="201"/>
      <c r="H150" s="317"/>
      <c r="I150" s="201"/>
      <c r="J150" s="317"/>
      <c r="K150" s="184"/>
      <c r="L150" s="184"/>
      <c r="M150" s="184"/>
      <c r="N150" s="184"/>
      <c r="O150" s="184"/>
      <c r="P150" s="184"/>
      <c r="Q150" s="184"/>
      <c r="R150" s="10"/>
      <c r="S150" s="184"/>
      <c r="T150" s="184"/>
      <c r="U150" s="184"/>
      <c r="V150" s="184"/>
      <c r="W150" s="184"/>
      <c r="X150" s="184"/>
      <c r="Y150" s="184"/>
      <c r="Z150" s="184"/>
      <c r="AA150" s="184"/>
      <c r="AB150" s="63"/>
    </row>
    <row r="151" spans="1:28" ht="18.75" customHeight="1">
      <c r="A151" s="66" t="s">
        <v>100</v>
      </c>
      <c r="B151" s="10"/>
      <c r="C151" s="10"/>
      <c r="D151" s="211">
        <f>F14</f>
        <v>0</v>
      </c>
      <c r="E151" s="317"/>
      <c r="F151" s="317"/>
      <c r="G151" s="317"/>
      <c r="H151" s="317"/>
      <c r="I151" s="10"/>
      <c r="J151" s="10"/>
      <c r="K151" s="10" t="s">
        <v>101</v>
      </c>
      <c r="L151" s="10"/>
      <c r="M151" s="10"/>
      <c r="N151" s="211">
        <f>Q14</f>
        <v>0</v>
      </c>
      <c r="O151" s="317"/>
      <c r="P151" s="317"/>
      <c r="Q151" s="317"/>
      <c r="R151" s="317"/>
      <c r="S151" s="317"/>
      <c r="T151" s="16"/>
      <c r="U151" s="10"/>
      <c r="V151" s="10"/>
      <c r="W151" s="10"/>
      <c r="X151" s="10"/>
      <c r="Y151" s="10"/>
      <c r="Z151" s="10"/>
      <c r="AA151" s="10"/>
      <c r="AB151" s="68"/>
    </row>
    <row r="152" spans="1:28" ht="13.5" customHeight="1">
      <c r="A152" s="19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8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68"/>
    </row>
    <row r="153" spans="1:28" ht="13.5" customHeight="1">
      <c r="A153" s="61" t="s">
        <v>102</v>
      </c>
      <c r="B153" s="3"/>
      <c r="C153" s="3"/>
      <c r="D153" s="3"/>
      <c r="E153" s="3"/>
      <c r="F153" s="3" t="s">
        <v>103</v>
      </c>
      <c r="G153" s="3"/>
      <c r="H153" s="240">
        <f>X68</f>
        <v>5382966.6666666679</v>
      </c>
      <c r="I153" s="317"/>
      <c r="J153" s="317"/>
      <c r="K153" s="317"/>
      <c r="L153" s="317"/>
      <c r="M153" s="317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62"/>
    </row>
    <row r="154" spans="1:28" ht="13.5" customHeight="1">
      <c r="A154" s="61"/>
      <c r="B154" s="3"/>
      <c r="C154" s="3"/>
      <c r="D154" s="3"/>
      <c r="E154" s="3"/>
      <c r="F154" s="47"/>
      <c r="G154" s="47"/>
      <c r="H154" s="47"/>
      <c r="I154" s="4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62"/>
    </row>
    <row r="155" spans="1:28" ht="13.5" customHeight="1">
      <c r="A155" s="61" t="s">
        <v>104</v>
      </c>
      <c r="B155" s="3"/>
      <c r="C155" s="3"/>
      <c r="D155" s="3"/>
      <c r="E155" s="3"/>
      <c r="F155" s="3" t="s">
        <v>103</v>
      </c>
      <c r="G155" s="3"/>
      <c r="H155" s="240">
        <f>S92</f>
        <v>1022990.0000000005</v>
      </c>
      <c r="I155" s="317"/>
      <c r="J155" s="317"/>
      <c r="K155" s="317"/>
      <c r="L155" s="317"/>
      <c r="M155" s="317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62"/>
    </row>
    <row r="156" spans="1:28" ht="13.5" customHeight="1">
      <c r="A156" s="61"/>
      <c r="B156" s="3"/>
      <c r="C156" s="3"/>
      <c r="D156" s="3"/>
      <c r="E156" s="240"/>
      <c r="F156" s="317"/>
      <c r="G156" s="317"/>
      <c r="H156" s="317"/>
      <c r="I156" s="317"/>
      <c r="J156" s="3"/>
      <c r="K156" s="3"/>
      <c r="L156" s="3"/>
      <c r="M156" s="3"/>
      <c r="N156" s="3"/>
      <c r="O156" s="3"/>
      <c r="P156" s="3"/>
      <c r="Q156" s="3"/>
      <c r="R156" s="3"/>
      <c r="S156" s="240"/>
      <c r="T156" s="317"/>
      <c r="U156" s="317"/>
      <c r="V156" s="3"/>
      <c r="W156" s="3"/>
      <c r="X156" s="3"/>
      <c r="Y156" s="3"/>
      <c r="Z156" s="3"/>
      <c r="AA156" s="3"/>
      <c r="AB156" s="62"/>
    </row>
    <row r="157" spans="1:28" ht="13.5" customHeight="1">
      <c r="A157" s="6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62"/>
    </row>
    <row r="158" spans="1:28" ht="28.5" customHeight="1">
      <c r="A158" s="208" t="s">
        <v>11</v>
      </c>
      <c r="B158" s="336"/>
      <c r="C158" s="336"/>
      <c r="D158" s="336"/>
      <c r="E158" s="336"/>
      <c r="F158" s="336"/>
      <c r="G158" s="320"/>
      <c r="H158" s="207"/>
      <c r="I158" s="336"/>
      <c r="J158" s="336"/>
      <c r="K158" s="336"/>
      <c r="L158" s="336"/>
      <c r="M158" s="320"/>
      <c r="N158" s="3"/>
      <c r="O158" s="3"/>
      <c r="P158" s="3"/>
      <c r="Q158" s="3"/>
      <c r="R158" s="3"/>
      <c r="S158" s="240"/>
      <c r="T158" s="317"/>
      <c r="U158" s="317"/>
      <c r="V158" s="3"/>
      <c r="W158" s="3"/>
      <c r="X158" s="3"/>
      <c r="Y158" s="3"/>
      <c r="Z158" s="3"/>
      <c r="AA158" s="3"/>
      <c r="AB158" s="62"/>
    </row>
    <row r="159" spans="1:28" ht="27" customHeight="1">
      <c r="A159" s="208" t="s">
        <v>105</v>
      </c>
      <c r="B159" s="336"/>
      <c r="C159" s="336"/>
      <c r="D159" s="336"/>
      <c r="E159" s="336"/>
      <c r="F159" s="336"/>
      <c r="G159" s="320"/>
      <c r="H159" s="207"/>
      <c r="I159" s="336"/>
      <c r="J159" s="336"/>
      <c r="K159" s="336"/>
      <c r="L159" s="336"/>
      <c r="M159" s="320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62"/>
    </row>
    <row r="160" spans="1:28" ht="21" customHeight="1">
      <c r="A160" s="208" t="s">
        <v>15</v>
      </c>
      <c r="B160" s="336"/>
      <c r="C160" s="336"/>
      <c r="D160" s="336"/>
      <c r="E160" s="336"/>
      <c r="F160" s="336"/>
      <c r="G160" s="320"/>
      <c r="H160" s="207"/>
      <c r="I160" s="336"/>
      <c r="J160" s="336"/>
      <c r="K160" s="336"/>
      <c r="L160" s="336"/>
      <c r="M160" s="320"/>
      <c r="N160" s="187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62"/>
    </row>
    <row r="161" spans="1:28" ht="9.75" customHeight="1">
      <c r="A161" s="6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62"/>
    </row>
    <row r="162" spans="1:28" ht="13.5" customHeight="1">
      <c r="A162" s="6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62"/>
    </row>
    <row r="163" spans="1:28" ht="13.5" customHeight="1">
      <c r="A163" s="6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62"/>
    </row>
    <row r="164" spans="1:28" ht="13.5" customHeight="1">
      <c r="A164" s="6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62"/>
    </row>
    <row r="165" spans="1:28" ht="13.5" customHeight="1">
      <c r="A165" s="6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62"/>
    </row>
    <row r="166" spans="1:28" ht="13.5" customHeight="1">
      <c r="A166" s="61"/>
      <c r="B166" s="3" t="s">
        <v>106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 t="s">
        <v>107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62"/>
    </row>
    <row r="167" spans="1:28" ht="13.5" customHeight="1">
      <c r="A167" s="6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62"/>
    </row>
    <row r="168" spans="1:28" ht="13.5" customHeight="1">
      <c r="A168" s="6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62"/>
    </row>
    <row r="169" spans="1:28" ht="13.5" customHeight="1">
      <c r="A169" s="6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62"/>
    </row>
    <row r="170" spans="1:28" ht="13.5" customHeight="1">
      <c r="A170" s="238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239"/>
      <c r="S170" s="350"/>
      <c r="T170" s="350"/>
      <c r="U170" s="350"/>
      <c r="V170" s="350"/>
      <c r="W170" s="350"/>
      <c r="X170" s="350"/>
      <c r="Y170" s="350"/>
      <c r="Z170" s="350"/>
      <c r="AA170" s="350"/>
      <c r="AB170" s="351"/>
    </row>
    <row r="171" spans="1:28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.75" customHeight="1"/>
    <row r="368" spans="1:28" ht="15.75" customHeight="1"/>
    <row r="369" s="318" customFormat="1" ht="15.75" customHeight="1"/>
    <row r="370" s="318" customFormat="1" ht="15.75" customHeight="1"/>
    <row r="371" s="318" customFormat="1" ht="15.75" customHeight="1"/>
    <row r="372" s="318" customFormat="1" ht="15.75" customHeight="1"/>
    <row r="373" s="318" customFormat="1" ht="15.75" customHeight="1"/>
    <row r="374" s="318" customFormat="1" ht="15.75" customHeight="1"/>
    <row r="375" s="318" customFormat="1" ht="15.75" customHeight="1"/>
    <row r="376" s="318" customFormat="1" ht="15.75" customHeight="1"/>
    <row r="377" s="318" customFormat="1" ht="15.75" customHeight="1"/>
    <row r="378" s="318" customFormat="1" ht="15.75" customHeight="1"/>
    <row r="379" s="318" customFormat="1" ht="15.75" customHeight="1"/>
    <row r="380" s="318" customFormat="1" ht="15.75" customHeight="1"/>
    <row r="381" s="318" customFormat="1" ht="15.75" customHeight="1"/>
    <row r="382" s="318" customFormat="1" ht="15.75" customHeight="1"/>
    <row r="383" s="318" customFormat="1" ht="15.75" customHeight="1"/>
    <row r="384" s="318" customFormat="1" ht="15.75" customHeight="1"/>
    <row r="385" s="318" customFormat="1" ht="15.75" customHeight="1"/>
    <row r="386" s="318" customFormat="1" ht="15.75" customHeight="1"/>
    <row r="387" s="318" customFormat="1" ht="15.75" customHeight="1"/>
    <row r="388" s="318" customFormat="1" ht="15.75" customHeight="1"/>
    <row r="389" s="318" customFormat="1" ht="15.75" customHeight="1"/>
    <row r="390" s="318" customFormat="1" ht="15.75" customHeight="1"/>
    <row r="391" s="318" customFormat="1" ht="15.75" customHeight="1"/>
    <row r="392" s="318" customFormat="1" ht="15.75" customHeight="1"/>
    <row r="393" s="318" customFormat="1" ht="15.75" customHeight="1"/>
    <row r="394" s="318" customFormat="1" ht="15.75" customHeight="1"/>
    <row r="395" s="318" customFormat="1" ht="15.75" customHeight="1"/>
    <row r="396" s="318" customFormat="1" ht="15.75" customHeight="1"/>
    <row r="397" s="318" customFormat="1" ht="15.75" customHeight="1"/>
    <row r="398" s="318" customFormat="1" ht="15.75" customHeight="1"/>
    <row r="399" s="318" customFormat="1" ht="15.75" customHeight="1"/>
    <row r="400" s="318" customFormat="1" ht="15.75" customHeight="1"/>
    <row r="401" s="318" customFormat="1" ht="15.75" customHeight="1"/>
    <row r="402" s="318" customFormat="1" ht="15.75" customHeight="1"/>
    <row r="403" s="318" customFormat="1" ht="15.75" customHeight="1"/>
    <row r="404" s="318" customFormat="1" ht="15.75" customHeight="1"/>
    <row r="405" s="318" customFormat="1" ht="15.75" customHeight="1"/>
    <row r="406" s="318" customFormat="1" ht="15.75" customHeight="1"/>
    <row r="407" s="318" customFormat="1" ht="15.75" customHeight="1"/>
    <row r="408" s="318" customFormat="1" ht="15.75" customHeight="1"/>
    <row r="409" s="318" customFormat="1" ht="15.75" customHeight="1"/>
    <row r="410" s="318" customFormat="1" ht="15.75" customHeight="1"/>
    <row r="411" s="318" customFormat="1" ht="15.75" customHeight="1"/>
    <row r="412" s="318" customFormat="1" ht="15.75" customHeight="1"/>
    <row r="413" s="318" customFormat="1" ht="15.75" customHeight="1"/>
    <row r="414" s="318" customFormat="1" ht="15.75" customHeight="1"/>
    <row r="415" s="318" customFormat="1" ht="15.75" customHeight="1"/>
    <row r="416" s="318" customFormat="1" ht="15.75" customHeight="1"/>
    <row r="417" s="318" customFormat="1" ht="15.75" customHeight="1"/>
    <row r="418" s="318" customFormat="1" ht="15.75" customHeight="1"/>
    <row r="419" s="318" customFormat="1" ht="15.75" customHeight="1"/>
    <row r="420" s="318" customFormat="1" ht="15.75" customHeight="1"/>
    <row r="421" s="318" customFormat="1" ht="15.75" customHeight="1"/>
    <row r="422" s="318" customFormat="1" ht="15.75" customHeight="1"/>
    <row r="423" s="318" customFormat="1" ht="15.75" customHeight="1"/>
    <row r="424" s="318" customFormat="1" ht="15.75" customHeight="1"/>
    <row r="425" s="318" customFormat="1" ht="15.75" customHeight="1"/>
    <row r="426" s="318" customFormat="1" ht="15.75" customHeight="1"/>
    <row r="427" s="318" customFormat="1" ht="15.75" customHeight="1"/>
    <row r="428" s="318" customFormat="1" ht="15.75" customHeight="1"/>
    <row r="429" s="318" customFormat="1" ht="15.75" customHeight="1"/>
    <row r="430" s="318" customFormat="1" ht="15.75" customHeight="1"/>
    <row r="431" s="318" customFormat="1" ht="15.75" customHeight="1"/>
    <row r="432" s="318" customFormat="1" ht="15.75" customHeight="1"/>
    <row r="433" s="318" customFormat="1" ht="15.75" customHeight="1"/>
    <row r="434" s="318" customFormat="1" ht="15.75" customHeight="1"/>
    <row r="435" s="318" customFormat="1" ht="15.75" customHeight="1"/>
    <row r="436" s="318" customFormat="1" ht="15.75" customHeight="1"/>
    <row r="437" s="318" customFormat="1" ht="15.75" customHeight="1"/>
    <row r="438" s="318" customFormat="1" ht="15.75" customHeight="1"/>
    <row r="439" s="318" customFormat="1" ht="15.75" customHeight="1"/>
    <row r="440" s="318" customFormat="1" ht="15.75" customHeight="1"/>
    <row r="441" s="318" customFormat="1" ht="15.75" customHeight="1"/>
    <row r="442" s="318" customFormat="1" ht="15.75" customHeight="1"/>
    <row r="443" s="318" customFormat="1" ht="15.75" customHeight="1"/>
    <row r="444" s="318" customFormat="1" ht="15.75" customHeight="1"/>
    <row r="445" s="318" customFormat="1" ht="15.75" customHeight="1"/>
    <row r="446" s="318" customFormat="1" ht="15.75" customHeight="1"/>
    <row r="447" s="318" customFormat="1" ht="15.75" customHeight="1"/>
    <row r="448" s="318" customFormat="1" ht="15.75" customHeight="1"/>
    <row r="449" s="318" customFormat="1" ht="15.75" customHeight="1"/>
    <row r="450" s="318" customFormat="1" ht="15.75" customHeight="1"/>
    <row r="451" s="318" customFormat="1" ht="15.75" customHeight="1"/>
    <row r="452" s="318" customFormat="1" ht="15.75" customHeight="1"/>
    <row r="453" s="318" customFormat="1" ht="15.75" customHeight="1"/>
    <row r="454" s="318" customFormat="1" ht="15.75" customHeight="1"/>
    <row r="455" s="318" customFormat="1" ht="15.75" customHeight="1"/>
    <row r="456" s="318" customFormat="1" ht="15.75" customHeight="1"/>
    <row r="457" s="318" customFormat="1" ht="15.75" customHeight="1"/>
    <row r="458" s="318" customFormat="1" ht="15.75" customHeight="1"/>
    <row r="459" s="318" customFormat="1" ht="15.75" customHeight="1"/>
    <row r="460" s="318" customFormat="1" ht="15.75" customHeight="1"/>
    <row r="461" s="318" customFormat="1" ht="15.75" customHeight="1"/>
    <row r="462" s="318" customFormat="1" ht="15.75" customHeight="1"/>
    <row r="463" s="318" customFormat="1" ht="15.75" customHeight="1"/>
    <row r="464" s="318" customFormat="1" ht="15.75" customHeight="1"/>
    <row r="465" s="318" customFormat="1" ht="15.75" customHeight="1"/>
    <row r="466" s="318" customFormat="1" ht="15.75" customHeight="1"/>
    <row r="467" s="318" customFormat="1" ht="15.75" customHeight="1"/>
    <row r="468" s="318" customFormat="1" ht="15.75" customHeight="1"/>
    <row r="469" s="318" customFormat="1" ht="15.75" customHeight="1"/>
    <row r="470" s="318" customFormat="1" ht="15.75" customHeight="1"/>
    <row r="471" s="318" customFormat="1" ht="15.75" customHeight="1"/>
    <row r="472" s="318" customFormat="1" ht="15.75" customHeight="1"/>
    <row r="473" s="318" customFormat="1" ht="15.75" customHeight="1"/>
    <row r="474" s="318" customFormat="1" ht="15.75" customHeight="1"/>
    <row r="475" s="318" customFormat="1" ht="15.75" customHeight="1"/>
    <row r="476" s="318" customFormat="1" ht="15.75" customHeight="1"/>
    <row r="477" s="318" customFormat="1" ht="15.75" customHeight="1"/>
    <row r="478" s="318" customFormat="1" ht="15.75" customHeight="1"/>
    <row r="479" s="318" customFormat="1" ht="15.75" customHeight="1"/>
    <row r="480" s="318" customFormat="1" ht="15.75" customHeight="1"/>
    <row r="481" s="318" customFormat="1" ht="15.75" customHeight="1"/>
    <row r="482" s="318" customFormat="1" ht="15.75" customHeight="1"/>
    <row r="483" s="318" customFormat="1" ht="15.75" customHeight="1"/>
    <row r="484" s="318" customFormat="1" ht="15.75" customHeight="1"/>
    <row r="485" s="318" customFormat="1" ht="15.75" customHeight="1"/>
    <row r="486" s="318" customFormat="1" ht="15.75" customHeight="1"/>
    <row r="487" s="318" customFormat="1" ht="15.75" customHeight="1"/>
    <row r="488" s="318" customFormat="1" ht="15.75" customHeight="1"/>
    <row r="489" s="318" customFormat="1" ht="15.75" customHeight="1"/>
    <row r="490" s="318" customFormat="1" ht="15.75" customHeight="1"/>
    <row r="491" s="318" customFormat="1" ht="15.75" customHeight="1"/>
    <row r="492" s="318" customFormat="1" ht="15.75" customHeight="1"/>
    <row r="493" s="318" customFormat="1" ht="15.75" customHeight="1"/>
    <row r="494" s="318" customFormat="1" ht="15.75" customHeight="1"/>
    <row r="495" s="318" customFormat="1" ht="15.75" customHeight="1"/>
    <row r="496" s="318" customFormat="1" ht="15.75" customHeight="1"/>
    <row r="497" s="318" customFormat="1" ht="15.75" customHeight="1"/>
    <row r="498" s="318" customFormat="1" ht="15.75" customHeight="1"/>
    <row r="499" s="318" customFormat="1" ht="15.75" customHeight="1"/>
    <row r="500" s="318" customFormat="1" ht="15.75" customHeight="1"/>
    <row r="501" s="318" customFormat="1" ht="15.75" customHeight="1"/>
    <row r="502" s="318" customFormat="1" ht="15.75" customHeight="1"/>
    <row r="503" s="318" customFormat="1" ht="15.75" customHeight="1"/>
    <row r="504" s="318" customFormat="1" ht="15.75" customHeight="1"/>
    <row r="505" s="318" customFormat="1" ht="15.75" customHeight="1"/>
    <row r="506" s="318" customFormat="1" ht="15.75" customHeight="1"/>
    <row r="507" s="318" customFormat="1" ht="15.75" customHeight="1"/>
    <row r="508" s="318" customFormat="1" ht="15.75" customHeight="1"/>
    <row r="509" s="318" customFormat="1" ht="15.75" customHeight="1"/>
    <row r="510" s="318" customFormat="1" ht="15.75" customHeight="1"/>
    <row r="511" s="318" customFormat="1" ht="15.75" customHeight="1"/>
    <row r="512" s="318" customFormat="1" ht="15.75" customHeight="1"/>
    <row r="513" s="318" customFormat="1" ht="15.75" customHeight="1"/>
    <row r="514" s="318" customFormat="1" ht="15.75" customHeight="1"/>
    <row r="515" s="318" customFormat="1" ht="15.75" customHeight="1"/>
    <row r="516" s="318" customFormat="1" ht="15.75" customHeight="1"/>
    <row r="517" s="318" customFormat="1" ht="15.75" customHeight="1"/>
    <row r="518" s="318" customFormat="1" ht="15.75" customHeight="1"/>
    <row r="519" s="318" customFormat="1" ht="15.75" customHeight="1"/>
    <row r="520" s="318" customFormat="1" ht="15.75" customHeight="1"/>
    <row r="521" s="318" customFormat="1" ht="15.75" customHeight="1"/>
    <row r="522" s="318" customFormat="1" ht="15.75" customHeight="1"/>
    <row r="523" s="318" customFormat="1" ht="15.75" customHeight="1"/>
    <row r="524" s="318" customFormat="1" ht="15.75" customHeight="1"/>
    <row r="525" s="318" customFormat="1" ht="15.75" customHeight="1"/>
    <row r="526" s="318" customFormat="1" ht="15.75" customHeight="1"/>
    <row r="527" s="318" customFormat="1" ht="15.75" customHeight="1"/>
    <row r="528" s="318" customFormat="1" ht="15.75" customHeight="1"/>
    <row r="529" s="318" customFormat="1" ht="15.75" customHeight="1"/>
    <row r="530" s="318" customFormat="1" ht="15.75" customHeight="1"/>
    <row r="531" s="318" customFormat="1" ht="15.75" customHeight="1"/>
    <row r="532" s="318" customFormat="1" ht="15.75" customHeight="1"/>
    <row r="533" s="318" customFormat="1" ht="15.75" customHeight="1"/>
    <row r="534" s="318" customFormat="1" ht="15.75" customHeight="1"/>
    <row r="535" s="318" customFormat="1" ht="15.75" customHeight="1"/>
    <row r="536" s="318" customFormat="1" ht="15.75" customHeight="1"/>
    <row r="537" s="318" customFormat="1" ht="15.75" customHeight="1"/>
    <row r="538" s="318" customFormat="1" ht="15.75" customHeight="1"/>
    <row r="539" s="318" customFormat="1" ht="15.75" customHeight="1"/>
    <row r="540" s="318" customFormat="1" ht="15.75" customHeight="1"/>
    <row r="541" s="318" customFormat="1" ht="15.75" customHeight="1"/>
    <row r="542" s="318" customFormat="1" ht="15.75" customHeight="1"/>
    <row r="543" s="318" customFormat="1" ht="15.75" customHeight="1"/>
    <row r="544" s="318" customFormat="1" ht="15.75" customHeight="1"/>
    <row r="545" s="318" customFormat="1" ht="15.75" customHeight="1"/>
    <row r="546" s="318" customFormat="1" ht="15.75" customHeight="1"/>
    <row r="547" s="318" customFormat="1" ht="15.75" customHeight="1"/>
    <row r="548" s="318" customFormat="1" ht="15.75" customHeight="1"/>
    <row r="549" s="318" customFormat="1" ht="15.75" customHeight="1"/>
    <row r="550" s="318" customFormat="1" ht="15.75" customHeight="1"/>
    <row r="551" s="318" customFormat="1" ht="15.75" customHeight="1"/>
    <row r="552" s="318" customFormat="1" ht="15.75" customHeight="1"/>
    <row r="553" s="318" customFormat="1" ht="15.75" customHeight="1"/>
    <row r="554" s="318" customFormat="1" ht="15.75" customHeight="1"/>
    <row r="555" s="318" customFormat="1" ht="15.75" customHeight="1"/>
    <row r="556" s="318" customFormat="1" ht="15.75" customHeight="1"/>
    <row r="557" s="318" customFormat="1" ht="15.75" customHeight="1"/>
    <row r="558" s="318" customFormat="1" ht="15.75" customHeight="1"/>
    <row r="559" s="318" customFormat="1" ht="15.75" customHeight="1"/>
    <row r="560" s="318" customFormat="1" ht="15.75" customHeight="1"/>
    <row r="561" s="318" customFormat="1" ht="15.75" customHeight="1"/>
    <row r="562" s="318" customFormat="1" ht="15.75" customHeight="1"/>
    <row r="563" s="318" customFormat="1" ht="15.75" customHeight="1"/>
    <row r="564" s="318" customFormat="1" ht="15.75" customHeight="1"/>
    <row r="565" s="318" customFormat="1" ht="15.75" customHeight="1"/>
    <row r="566" s="318" customFormat="1" ht="15.75" customHeight="1"/>
    <row r="567" s="318" customFormat="1" ht="15.75" customHeight="1"/>
    <row r="568" s="318" customFormat="1" ht="15.75" customHeight="1"/>
    <row r="569" s="318" customFormat="1" ht="15.75" customHeight="1"/>
    <row r="570" s="318" customFormat="1" ht="15.75" customHeight="1"/>
    <row r="571" s="318" customFormat="1" ht="15.75" customHeight="1"/>
    <row r="572" s="318" customFormat="1" ht="15.75" customHeight="1"/>
    <row r="573" s="318" customFormat="1" ht="15.75" customHeight="1"/>
    <row r="574" s="318" customFormat="1" ht="15.75" customHeight="1"/>
    <row r="575" s="318" customFormat="1" ht="15.75" customHeight="1"/>
    <row r="576" s="318" customFormat="1" ht="15.75" customHeight="1"/>
    <row r="577" s="318" customFormat="1" ht="15.75" customHeight="1"/>
    <row r="578" s="318" customFormat="1" ht="15.75" customHeight="1"/>
    <row r="579" s="318" customFormat="1" ht="15.75" customHeight="1"/>
    <row r="580" s="318" customFormat="1" ht="15.75" customHeight="1"/>
    <row r="581" s="318" customFormat="1" ht="15.75" customHeight="1"/>
    <row r="582" s="318" customFormat="1" ht="15.75" customHeight="1"/>
    <row r="583" s="318" customFormat="1" ht="15.75" customHeight="1"/>
    <row r="584" s="318" customFormat="1" ht="15.75" customHeight="1"/>
    <row r="585" s="318" customFormat="1" ht="15.75" customHeight="1"/>
    <row r="586" s="318" customFormat="1" ht="15.75" customHeight="1"/>
    <row r="587" s="318" customFormat="1" ht="15.75" customHeight="1"/>
    <row r="588" s="318" customFormat="1" ht="15.75" customHeight="1"/>
    <row r="589" s="318" customFormat="1" ht="15.75" customHeight="1"/>
    <row r="590" s="318" customFormat="1" ht="15.75" customHeight="1"/>
    <row r="591" s="318" customFormat="1" ht="15.75" customHeight="1"/>
    <row r="592" s="318" customFormat="1" ht="15.75" customHeight="1"/>
    <row r="593" s="318" customFormat="1" ht="15.75" customHeight="1"/>
    <row r="594" s="318" customFormat="1" ht="15.75" customHeight="1"/>
    <row r="595" s="318" customFormat="1" ht="15.75" customHeight="1"/>
    <row r="596" s="318" customFormat="1" ht="15.75" customHeight="1"/>
    <row r="597" s="318" customFormat="1" ht="15.75" customHeight="1"/>
    <row r="598" s="318" customFormat="1" ht="15.75" customHeight="1"/>
    <row r="599" s="318" customFormat="1" ht="15.75" customHeight="1"/>
    <row r="600" s="318" customFormat="1" ht="15.75" customHeight="1"/>
    <row r="601" s="318" customFormat="1" ht="15.75" customHeight="1"/>
    <row r="602" s="318" customFormat="1" ht="15.75" customHeight="1"/>
    <row r="603" s="318" customFormat="1" ht="15.75" customHeight="1"/>
    <row r="604" s="318" customFormat="1" ht="15.75" customHeight="1"/>
    <row r="605" s="318" customFormat="1" ht="15.75" customHeight="1"/>
    <row r="606" s="318" customFormat="1" ht="15.75" customHeight="1"/>
    <row r="607" s="318" customFormat="1" ht="15.75" customHeight="1"/>
    <row r="608" s="318" customFormat="1" ht="15.75" customHeight="1"/>
    <row r="609" s="318" customFormat="1" ht="15.75" customHeight="1"/>
    <row r="610" s="318" customFormat="1" ht="15.75" customHeight="1"/>
    <row r="611" s="318" customFormat="1" ht="15.75" customHeight="1"/>
    <row r="612" s="318" customFormat="1" ht="15.75" customHeight="1"/>
    <row r="613" s="318" customFormat="1" ht="15.75" customHeight="1"/>
    <row r="614" s="318" customFormat="1" ht="15.75" customHeight="1"/>
    <row r="615" s="318" customFormat="1" ht="15.75" customHeight="1"/>
    <row r="616" s="318" customFormat="1" ht="15.75" customHeight="1"/>
    <row r="617" s="318" customFormat="1" ht="15.75" customHeight="1"/>
    <row r="618" s="318" customFormat="1" ht="15.75" customHeight="1"/>
    <row r="619" s="318" customFormat="1" ht="15.75" customHeight="1"/>
    <row r="620" s="318" customFormat="1" ht="15.75" customHeight="1"/>
    <row r="621" s="318" customFormat="1" ht="15.75" customHeight="1"/>
    <row r="622" s="318" customFormat="1" ht="15.75" customHeight="1"/>
    <row r="623" s="318" customFormat="1" ht="15.75" customHeight="1"/>
    <row r="624" s="318" customFormat="1" ht="15.75" customHeight="1"/>
    <row r="625" s="318" customFormat="1" ht="15.75" customHeight="1"/>
    <row r="626" s="318" customFormat="1" ht="15.75" customHeight="1"/>
    <row r="627" s="318" customFormat="1" ht="15.75" customHeight="1"/>
    <row r="628" s="318" customFormat="1" ht="15.75" customHeight="1"/>
    <row r="629" s="318" customFormat="1" ht="15.75" customHeight="1"/>
    <row r="630" s="318" customFormat="1" ht="15.75" customHeight="1"/>
    <row r="631" s="318" customFormat="1" ht="15.75" customHeight="1"/>
    <row r="632" s="318" customFormat="1" ht="15.75" customHeight="1"/>
    <row r="633" s="318" customFormat="1" ht="15.75" customHeight="1"/>
    <row r="634" s="318" customFormat="1" ht="15.75" customHeight="1"/>
    <row r="635" s="318" customFormat="1" ht="15.75" customHeight="1"/>
    <row r="636" s="318" customFormat="1" ht="15.75" customHeight="1"/>
    <row r="637" s="318" customFormat="1" ht="15.75" customHeight="1"/>
    <row r="638" s="318" customFormat="1" ht="15.75" customHeight="1"/>
    <row r="639" s="318" customFormat="1" ht="15.75" customHeight="1"/>
    <row r="640" s="318" customFormat="1" ht="15.75" customHeight="1"/>
    <row r="641" s="318" customFormat="1" ht="15.75" customHeight="1"/>
    <row r="642" s="318" customFormat="1" ht="15.75" customHeight="1"/>
    <row r="643" s="318" customFormat="1" ht="15.75" customHeight="1"/>
    <row r="644" s="318" customFormat="1" ht="15.75" customHeight="1"/>
    <row r="645" s="318" customFormat="1" ht="15.75" customHeight="1"/>
    <row r="646" s="318" customFormat="1" ht="15.75" customHeight="1"/>
    <row r="647" s="318" customFormat="1" ht="15.75" customHeight="1"/>
    <row r="648" s="318" customFormat="1" ht="15.75" customHeight="1"/>
    <row r="649" s="318" customFormat="1" ht="15.75" customHeight="1"/>
    <row r="650" s="318" customFormat="1" ht="15.75" customHeight="1"/>
    <row r="651" s="318" customFormat="1" ht="15.75" customHeight="1"/>
    <row r="652" s="318" customFormat="1" ht="15.75" customHeight="1"/>
    <row r="653" s="318" customFormat="1" ht="15.75" customHeight="1"/>
    <row r="654" s="318" customFormat="1" ht="15.75" customHeight="1"/>
    <row r="655" s="318" customFormat="1" ht="15.75" customHeight="1"/>
    <row r="656" s="318" customFormat="1" ht="15.75" customHeight="1"/>
    <row r="657" s="318" customFormat="1" ht="15.75" customHeight="1"/>
    <row r="658" s="318" customFormat="1" ht="15.75" customHeight="1"/>
    <row r="659" s="318" customFormat="1" ht="15.75" customHeight="1"/>
    <row r="660" s="318" customFormat="1" ht="15.75" customHeight="1"/>
    <row r="661" s="318" customFormat="1" ht="15.75" customHeight="1"/>
    <row r="662" s="318" customFormat="1" ht="15.75" customHeight="1"/>
    <row r="663" s="318" customFormat="1" ht="15.75" customHeight="1"/>
    <row r="664" s="318" customFormat="1" ht="15.75" customHeight="1"/>
    <row r="665" s="318" customFormat="1" ht="15.75" customHeight="1"/>
    <row r="666" s="318" customFormat="1" ht="15.75" customHeight="1"/>
    <row r="667" s="318" customFormat="1" ht="15.75" customHeight="1"/>
    <row r="668" s="318" customFormat="1" ht="15.75" customHeight="1"/>
    <row r="669" s="318" customFormat="1" ht="15.75" customHeight="1"/>
    <row r="670" s="318" customFormat="1" ht="15.75" customHeight="1"/>
    <row r="671" s="318" customFormat="1" ht="15.75" customHeight="1"/>
    <row r="672" s="318" customFormat="1" ht="15.75" customHeight="1"/>
    <row r="673" s="318" customFormat="1" ht="15.75" customHeight="1"/>
    <row r="674" s="318" customFormat="1" ht="15.75" customHeight="1"/>
    <row r="675" s="318" customFormat="1" ht="15.75" customHeight="1"/>
    <row r="676" s="318" customFormat="1" ht="15.75" customHeight="1"/>
    <row r="677" s="318" customFormat="1" ht="15.75" customHeight="1"/>
    <row r="678" s="318" customFormat="1" ht="15.75" customHeight="1"/>
    <row r="679" s="318" customFormat="1" ht="15.75" customHeight="1"/>
    <row r="680" s="318" customFormat="1" ht="15.75" customHeight="1"/>
    <row r="681" s="318" customFormat="1" ht="15.75" customHeight="1"/>
    <row r="682" s="318" customFormat="1" ht="15.75" customHeight="1"/>
    <row r="683" s="318" customFormat="1" ht="15.75" customHeight="1"/>
    <row r="684" s="318" customFormat="1" ht="15.75" customHeight="1"/>
    <row r="685" s="318" customFormat="1" ht="15.75" customHeight="1"/>
    <row r="686" s="318" customFormat="1" ht="15.75" customHeight="1"/>
    <row r="687" s="318" customFormat="1" ht="15.75" customHeight="1"/>
    <row r="688" s="318" customFormat="1" ht="15.75" customHeight="1"/>
    <row r="689" s="318" customFormat="1" ht="15.75" customHeight="1"/>
    <row r="690" s="318" customFormat="1" ht="15.75" customHeight="1"/>
    <row r="691" s="318" customFormat="1" ht="15.75" customHeight="1"/>
    <row r="692" s="318" customFormat="1" ht="15.75" customHeight="1"/>
    <row r="693" s="318" customFormat="1" ht="15.75" customHeight="1"/>
    <row r="694" s="318" customFormat="1" ht="15.75" customHeight="1"/>
    <row r="695" s="318" customFormat="1" ht="15.75" customHeight="1"/>
    <row r="696" s="318" customFormat="1" ht="15.75" customHeight="1"/>
    <row r="697" s="318" customFormat="1" ht="15.75" customHeight="1"/>
    <row r="698" s="318" customFormat="1" ht="15.75" customHeight="1"/>
    <row r="699" s="318" customFormat="1" ht="15.75" customHeight="1"/>
    <row r="700" s="318" customFormat="1" ht="15.75" customHeight="1"/>
    <row r="701" s="318" customFormat="1" ht="15.75" customHeight="1"/>
    <row r="702" s="318" customFormat="1" ht="15.75" customHeight="1"/>
    <row r="703" s="318" customFormat="1" ht="15.75" customHeight="1"/>
    <row r="704" s="318" customFormat="1" ht="15.75" customHeight="1"/>
    <row r="705" s="318" customFormat="1" ht="15.75" customHeight="1"/>
    <row r="706" s="318" customFormat="1" ht="15.75" customHeight="1"/>
    <row r="707" s="318" customFormat="1" ht="15.75" customHeight="1"/>
    <row r="708" s="318" customFormat="1" ht="15.75" customHeight="1"/>
    <row r="709" s="318" customFormat="1" ht="15.75" customHeight="1"/>
    <row r="710" s="318" customFormat="1" ht="15.75" customHeight="1"/>
    <row r="711" s="318" customFormat="1" ht="15.75" customHeight="1"/>
    <row r="712" s="318" customFormat="1" ht="15.75" customHeight="1"/>
    <row r="713" s="318" customFormat="1" ht="15.75" customHeight="1"/>
    <row r="714" s="318" customFormat="1" ht="15.75" customHeight="1"/>
    <row r="715" s="318" customFormat="1" ht="15.75" customHeight="1"/>
    <row r="716" s="318" customFormat="1" ht="15.75" customHeight="1"/>
    <row r="717" s="318" customFormat="1" ht="15.75" customHeight="1"/>
    <row r="718" s="318" customFormat="1" ht="15.75" customHeight="1"/>
    <row r="719" s="318" customFormat="1" ht="15.75" customHeight="1"/>
    <row r="720" s="318" customFormat="1" ht="15.75" customHeight="1"/>
    <row r="721" s="318" customFormat="1" ht="15.75" customHeight="1"/>
    <row r="722" s="318" customFormat="1" ht="15.75" customHeight="1"/>
    <row r="723" s="318" customFormat="1" ht="15.75" customHeight="1"/>
    <row r="724" s="318" customFormat="1" ht="15.75" customHeight="1"/>
    <row r="725" s="318" customFormat="1" ht="15.75" customHeight="1"/>
    <row r="726" s="318" customFormat="1" ht="15.75" customHeight="1"/>
    <row r="727" s="318" customFormat="1" ht="15.75" customHeight="1"/>
    <row r="728" s="318" customFormat="1" ht="15.75" customHeight="1"/>
    <row r="729" s="318" customFormat="1" ht="15.75" customHeight="1"/>
    <row r="730" s="318" customFormat="1" ht="15.75" customHeight="1"/>
    <row r="731" s="318" customFormat="1" ht="15.75" customHeight="1"/>
    <row r="732" s="318" customFormat="1" ht="15.75" customHeight="1"/>
    <row r="733" s="318" customFormat="1" ht="15.75" customHeight="1"/>
    <row r="734" s="318" customFormat="1" ht="15.75" customHeight="1"/>
    <row r="735" s="318" customFormat="1" ht="15.75" customHeight="1"/>
    <row r="736" s="318" customFormat="1" ht="15.75" customHeight="1"/>
    <row r="737" s="318" customFormat="1" ht="15.75" customHeight="1"/>
    <row r="738" s="318" customFormat="1" ht="15.75" customHeight="1"/>
    <row r="739" s="318" customFormat="1" ht="15.75" customHeight="1"/>
    <row r="740" s="318" customFormat="1" ht="15.75" customHeight="1"/>
    <row r="741" s="318" customFormat="1" ht="15.75" customHeight="1"/>
    <row r="742" s="318" customFormat="1" ht="15.75" customHeight="1"/>
    <row r="743" s="318" customFormat="1" ht="15.75" customHeight="1"/>
    <row r="744" s="318" customFormat="1" ht="15.75" customHeight="1"/>
    <row r="745" s="318" customFormat="1" ht="15.75" customHeight="1"/>
    <row r="746" s="318" customFormat="1" ht="15.75" customHeight="1"/>
    <row r="747" s="318" customFormat="1" ht="15.75" customHeight="1"/>
    <row r="748" s="318" customFormat="1" ht="15.75" customHeight="1"/>
    <row r="749" s="318" customFormat="1" ht="15.75" customHeight="1"/>
    <row r="750" s="318" customFormat="1" ht="15.75" customHeight="1"/>
    <row r="751" s="318" customFormat="1" ht="15.75" customHeight="1"/>
    <row r="752" s="318" customFormat="1" ht="15.75" customHeight="1"/>
    <row r="753" s="318" customFormat="1" ht="15.75" customHeight="1"/>
    <row r="754" s="318" customFormat="1" ht="15.75" customHeight="1"/>
    <row r="755" s="318" customFormat="1" ht="15.75" customHeight="1"/>
    <row r="756" s="318" customFormat="1" ht="15.75" customHeight="1"/>
    <row r="757" s="318" customFormat="1" ht="15.75" customHeight="1"/>
    <row r="758" s="318" customFormat="1" ht="15.75" customHeight="1"/>
    <row r="759" s="318" customFormat="1" ht="15.75" customHeight="1"/>
    <row r="760" s="318" customFormat="1" ht="15.75" customHeight="1"/>
    <row r="761" s="318" customFormat="1" ht="15.75" customHeight="1"/>
    <row r="762" s="318" customFormat="1" ht="15.75" customHeight="1"/>
    <row r="763" s="318" customFormat="1" ht="15.75" customHeight="1"/>
    <row r="764" s="318" customFormat="1" ht="15.75" customHeight="1"/>
    <row r="765" s="318" customFormat="1" ht="15.75" customHeight="1"/>
    <row r="766" s="318" customFormat="1" ht="15.75" customHeight="1"/>
    <row r="767" s="318" customFormat="1" ht="15.75" customHeight="1"/>
    <row r="768" s="318" customFormat="1" ht="15.75" customHeight="1"/>
    <row r="769" s="318" customFormat="1" ht="15.75" customHeight="1"/>
    <row r="770" s="318" customFormat="1" ht="15.75" customHeight="1"/>
    <row r="771" s="318" customFormat="1" ht="15.75" customHeight="1"/>
    <row r="772" s="318" customFormat="1" ht="15.75" customHeight="1"/>
    <row r="773" s="318" customFormat="1" ht="15.75" customHeight="1"/>
    <row r="774" s="318" customFormat="1" ht="15.75" customHeight="1"/>
    <row r="775" s="318" customFormat="1" ht="15.75" customHeight="1"/>
    <row r="776" s="318" customFormat="1" ht="15.75" customHeight="1"/>
    <row r="777" s="318" customFormat="1" ht="15.75" customHeight="1"/>
    <row r="778" s="318" customFormat="1" ht="15.75" customHeight="1"/>
    <row r="779" s="318" customFormat="1" ht="15.75" customHeight="1"/>
    <row r="780" s="318" customFormat="1" ht="15.75" customHeight="1"/>
    <row r="781" s="318" customFormat="1" ht="15.75" customHeight="1"/>
    <row r="782" s="318" customFormat="1" ht="15.75" customHeight="1"/>
    <row r="783" s="318" customFormat="1" ht="15.75" customHeight="1"/>
    <row r="784" s="318" customFormat="1" ht="15.75" customHeight="1"/>
    <row r="785" s="318" customFormat="1" ht="15.75" customHeight="1"/>
    <row r="786" s="318" customFormat="1" ht="15.75" customHeight="1"/>
    <row r="787" s="318" customFormat="1" ht="15.75" customHeight="1"/>
    <row r="788" s="318" customFormat="1" ht="15.75" customHeight="1"/>
    <row r="789" s="318" customFormat="1" ht="15.75" customHeight="1"/>
    <row r="790" s="318" customFormat="1" ht="15.75" customHeight="1"/>
    <row r="791" s="318" customFormat="1" ht="15.75" customHeight="1"/>
    <row r="792" s="318" customFormat="1" ht="15.75" customHeight="1"/>
    <row r="793" s="318" customFormat="1" ht="15.75" customHeight="1"/>
    <row r="794" s="318" customFormat="1" ht="15.75" customHeight="1"/>
    <row r="795" s="318" customFormat="1" ht="15.75" customHeight="1"/>
    <row r="796" s="318" customFormat="1" ht="15.75" customHeight="1"/>
    <row r="797" s="318" customFormat="1" ht="15.75" customHeight="1"/>
    <row r="798" s="318" customFormat="1" ht="15.75" customHeight="1"/>
    <row r="799" s="318" customFormat="1" ht="15.75" customHeight="1"/>
    <row r="800" s="318" customFormat="1" ht="15.75" customHeight="1"/>
    <row r="801" s="318" customFormat="1" ht="15.75" customHeight="1"/>
    <row r="802" s="318" customFormat="1" ht="15.75" customHeight="1"/>
    <row r="803" s="318" customFormat="1" ht="15.75" customHeight="1"/>
    <row r="804" s="318" customFormat="1" ht="15.75" customHeight="1"/>
    <row r="805" s="318" customFormat="1" ht="15.75" customHeight="1"/>
    <row r="806" s="318" customFormat="1" ht="15.75" customHeight="1"/>
    <row r="807" s="318" customFormat="1" ht="15.75" customHeight="1"/>
    <row r="808" s="318" customFormat="1" ht="15.75" customHeight="1"/>
    <row r="809" s="318" customFormat="1" ht="15.75" customHeight="1"/>
    <row r="810" s="318" customFormat="1" ht="15.75" customHeight="1"/>
    <row r="811" s="318" customFormat="1" ht="15.75" customHeight="1"/>
    <row r="812" s="318" customFormat="1" ht="15.75" customHeight="1"/>
    <row r="813" s="318" customFormat="1" ht="15.75" customHeight="1"/>
    <row r="814" s="318" customFormat="1" ht="15.75" customHeight="1"/>
    <row r="815" s="318" customFormat="1" ht="15.75" customHeight="1"/>
    <row r="816" s="318" customFormat="1" ht="15.75" customHeight="1"/>
    <row r="817" s="318" customFormat="1" ht="15.75" customHeight="1"/>
    <row r="818" s="318" customFormat="1" ht="15.75" customHeight="1"/>
    <row r="819" s="318" customFormat="1" ht="15.75" customHeight="1"/>
    <row r="820" s="318" customFormat="1" ht="15.75" customHeight="1"/>
    <row r="821" s="318" customFormat="1" ht="15.75" customHeight="1"/>
    <row r="822" s="318" customFormat="1" ht="15.75" customHeight="1"/>
    <row r="823" s="318" customFormat="1" ht="15.75" customHeight="1"/>
    <row r="824" s="318" customFormat="1" ht="15.75" customHeight="1"/>
    <row r="825" s="318" customFormat="1" ht="15.75" customHeight="1"/>
    <row r="826" s="318" customFormat="1" ht="15.75" customHeight="1"/>
    <row r="827" s="318" customFormat="1" ht="15.75" customHeight="1"/>
    <row r="828" s="318" customFormat="1" ht="15.75" customHeight="1"/>
    <row r="829" s="318" customFormat="1" ht="15.75" customHeight="1"/>
    <row r="830" s="318" customFormat="1" ht="15.75" customHeight="1"/>
    <row r="831" s="318" customFormat="1" ht="15.75" customHeight="1"/>
    <row r="832" s="318" customFormat="1" ht="15.75" customHeight="1"/>
    <row r="833" s="318" customFormat="1" ht="15.75" customHeight="1"/>
    <row r="834" s="318" customFormat="1" ht="15.75" customHeight="1"/>
    <row r="835" s="318" customFormat="1" ht="15.75" customHeight="1"/>
    <row r="836" s="318" customFormat="1" ht="15.75" customHeight="1"/>
    <row r="837" s="318" customFormat="1" ht="15.75" customHeight="1"/>
    <row r="838" s="318" customFormat="1" ht="15.75" customHeight="1"/>
    <row r="839" s="318" customFormat="1" ht="15.75" customHeight="1"/>
    <row r="840" s="318" customFormat="1" ht="15.75" customHeight="1"/>
    <row r="841" s="318" customFormat="1" ht="15.75" customHeight="1"/>
    <row r="842" s="318" customFormat="1" ht="15.75" customHeight="1"/>
    <row r="843" s="318" customFormat="1" ht="15.75" customHeight="1"/>
    <row r="844" s="318" customFormat="1" ht="15.75" customHeight="1"/>
    <row r="845" s="318" customFormat="1" ht="15.75" customHeight="1"/>
    <row r="846" s="318" customFormat="1" ht="15.75" customHeight="1"/>
    <row r="847" s="318" customFormat="1" ht="15.75" customHeight="1"/>
    <row r="848" s="318" customFormat="1" ht="15.75" customHeight="1"/>
    <row r="849" s="318" customFormat="1" ht="15.75" customHeight="1"/>
    <row r="850" s="318" customFormat="1" ht="15.75" customHeight="1"/>
    <row r="851" s="318" customFormat="1" ht="15.75" customHeight="1"/>
    <row r="852" s="318" customFormat="1" ht="15.75" customHeight="1"/>
    <row r="853" s="318" customFormat="1" ht="15.75" customHeight="1"/>
    <row r="854" s="318" customFormat="1" ht="15.75" customHeight="1"/>
    <row r="855" s="318" customFormat="1" ht="15.75" customHeight="1"/>
    <row r="856" s="318" customFormat="1" ht="15.75" customHeight="1"/>
    <row r="857" s="318" customFormat="1" ht="15.75" customHeight="1"/>
    <row r="858" s="318" customFormat="1" ht="15.75" customHeight="1"/>
    <row r="859" s="318" customFormat="1" ht="15.75" customHeight="1"/>
    <row r="860" s="318" customFormat="1" ht="15.75" customHeight="1"/>
    <row r="861" s="318" customFormat="1" ht="15.75" customHeight="1"/>
    <row r="862" s="318" customFormat="1" ht="15.75" customHeight="1"/>
    <row r="863" s="318" customFormat="1" ht="15.75" customHeight="1"/>
    <row r="864" s="318" customFormat="1" ht="15.75" customHeight="1"/>
    <row r="865" s="318" customFormat="1" ht="15.75" customHeight="1"/>
    <row r="866" s="318" customFormat="1" ht="15.75" customHeight="1"/>
    <row r="867" s="318" customFormat="1" ht="15.75" customHeight="1"/>
    <row r="868" s="318" customFormat="1" ht="15.75" customHeight="1"/>
    <row r="869" s="318" customFormat="1" ht="15.75" customHeight="1"/>
    <row r="870" s="318" customFormat="1" ht="15.75" customHeight="1"/>
    <row r="871" s="318" customFormat="1" ht="15.75" customHeight="1"/>
    <row r="872" s="318" customFormat="1" ht="15.75" customHeight="1"/>
    <row r="873" s="318" customFormat="1" ht="15.75" customHeight="1"/>
    <row r="874" s="318" customFormat="1" ht="15.75" customHeight="1"/>
    <row r="875" s="318" customFormat="1" ht="15.75" customHeight="1"/>
    <row r="876" s="318" customFormat="1" ht="15.75" customHeight="1"/>
    <row r="877" s="318" customFormat="1" ht="15.75" customHeight="1"/>
    <row r="878" s="318" customFormat="1" ht="15.75" customHeight="1"/>
    <row r="879" s="318" customFormat="1" ht="15.75" customHeight="1"/>
    <row r="880" s="318" customFormat="1" ht="15.75" customHeight="1"/>
    <row r="881" s="318" customFormat="1" ht="15.75" customHeight="1"/>
    <row r="882" s="318" customFormat="1" ht="15.75" customHeight="1"/>
    <row r="883" s="318" customFormat="1" ht="15.75" customHeight="1"/>
    <row r="884" s="318" customFormat="1" ht="15.75" customHeight="1"/>
    <row r="885" s="318" customFormat="1" ht="15.75" customHeight="1"/>
    <row r="886" s="318" customFormat="1" ht="15.75" customHeight="1"/>
    <row r="887" s="318" customFormat="1" ht="15.75" customHeight="1"/>
    <row r="888" s="318" customFormat="1" ht="15.75" customHeight="1"/>
    <row r="889" s="318" customFormat="1" ht="15.75" customHeight="1"/>
    <row r="890" s="318" customFormat="1" ht="15.75" customHeight="1"/>
    <row r="891" s="318" customFormat="1" ht="15.75" customHeight="1"/>
    <row r="892" s="318" customFormat="1" ht="15.75" customHeight="1"/>
    <row r="893" s="318" customFormat="1" ht="15.75" customHeight="1"/>
    <row r="894" s="318" customFormat="1" ht="15.75" customHeight="1"/>
    <row r="895" s="318" customFormat="1" ht="15.75" customHeight="1"/>
    <row r="896" s="318" customFormat="1" ht="15.75" customHeight="1"/>
    <row r="897" s="318" customFormat="1" ht="15.75" customHeight="1"/>
    <row r="898" s="318" customFormat="1" ht="15.75" customHeight="1"/>
    <row r="899" s="318" customFormat="1" ht="15.75" customHeight="1"/>
    <row r="900" s="318" customFormat="1" ht="15.75" customHeight="1"/>
    <row r="901" s="318" customFormat="1" ht="15.75" customHeight="1"/>
    <row r="902" s="318" customFormat="1" ht="15.75" customHeight="1"/>
    <row r="903" s="318" customFormat="1" ht="15.75" customHeight="1"/>
    <row r="904" s="318" customFormat="1" ht="15.75" customHeight="1"/>
    <row r="905" s="318" customFormat="1" ht="15.75" customHeight="1"/>
    <row r="906" s="318" customFormat="1" ht="15.75" customHeight="1"/>
    <row r="907" s="318" customFormat="1" ht="15.75" customHeight="1"/>
    <row r="908" s="318" customFormat="1" ht="15.75" customHeight="1"/>
    <row r="909" s="318" customFormat="1" ht="15.75" customHeight="1"/>
    <row r="910" s="318" customFormat="1" ht="15.75" customHeight="1"/>
    <row r="911" s="318" customFormat="1" ht="15.75" customHeight="1"/>
    <row r="912" s="318" customFormat="1" ht="15.75" customHeight="1"/>
    <row r="913" s="318" customFormat="1" ht="15.75" customHeight="1"/>
    <row r="914" s="318" customFormat="1" ht="15.75" customHeight="1"/>
    <row r="915" s="318" customFormat="1" ht="15.75" customHeight="1"/>
    <row r="916" s="318" customFormat="1" ht="15.75" customHeight="1"/>
    <row r="917" s="318" customFormat="1" ht="15.75" customHeight="1"/>
    <row r="918" s="318" customFormat="1" ht="15.75" customHeight="1"/>
    <row r="919" s="318" customFormat="1" ht="15.75" customHeight="1"/>
    <row r="920" s="318" customFormat="1" ht="15.75" customHeight="1"/>
    <row r="921" s="318" customFormat="1" ht="15.75" customHeight="1"/>
    <row r="922" s="318" customFormat="1" ht="15.75" customHeight="1"/>
    <row r="923" s="318" customFormat="1" ht="15.75" customHeight="1"/>
    <row r="924" s="318" customFormat="1" ht="15.75" customHeight="1"/>
    <row r="925" s="318" customFormat="1" ht="15.75" customHeight="1"/>
    <row r="926" s="318" customFormat="1" ht="15.75" customHeight="1"/>
    <row r="927" s="318" customFormat="1" ht="15.75" customHeight="1"/>
    <row r="928" s="318" customFormat="1" ht="15.75" customHeight="1"/>
    <row r="929" s="318" customFormat="1" ht="15.75" customHeight="1"/>
    <row r="930" s="318" customFormat="1" ht="15.75" customHeight="1"/>
    <row r="931" s="318" customFormat="1" ht="15.75" customHeight="1"/>
    <row r="932" s="318" customFormat="1" ht="15.75" customHeight="1"/>
    <row r="933" s="318" customFormat="1" ht="15.75" customHeight="1"/>
    <row r="934" s="318" customFormat="1" ht="15.75" customHeight="1"/>
    <row r="935" s="318" customFormat="1" ht="15.75" customHeight="1"/>
    <row r="936" s="318" customFormat="1" ht="15.75" customHeight="1"/>
    <row r="937" s="318" customFormat="1" ht="15.75" customHeight="1"/>
    <row r="938" s="318" customFormat="1" ht="15.75" customHeight="1"/>
    <row r="939" s="318" customFormat="1" ht="15.75" customHeight="1"/>
    <row r="940" s="318" customFormat="1" ht="15.75" customHeight="1"/>
    <row r="941" s="318" customFormat="1" ht="15.75" customHeight="1"/>
    <row r="942" s="318" customFormat="1" ht="15.75" customHeight="1"/>
    <row r="943" s="318" customFormat="1" ht="15.75" customHeight="1"/>
    <row r="944" s="318" customFormat="1" ht="15.75" customHeight="1"/>
    <row r="945" s="318" customFormat="1" ht="15.75" customHeight="1"/>
    <row r="946" s="318" customFormat="1" ht="15.75" customHeight="1"/>
    <row r="947" s="318" customFormat="1" ht="15.75" customHeight="1"/>
    <row r="948" s="318" customFormat="1" ht="15.75" customHeight="1"/>
    <row r="949" s="318" customFormat="1" ht="15.75" customHeight="1"/>
    <row r="950" s="318" customFormat="1" ht="15.75" customHeight="1"/>
    <row r="951" s="318" customFormat="1" ht="15.75" customHeight="1"/>
    <row r="952" s="318" customFormat="1" ht="15.75" customHeight="1"/>
    <row r="953" s="318" customFormat="1" ht="15.75" customHeight="1"/>
    <row r="954" s="318" customFormat="1" ht="15.75" customHeight="1"/>
    <row r="955" s="318" customFormat="1" ht="15.75" customHeight="1"/>
    <row r="956" s="318" customFormat="1" ht="15.75" customHeight="1"/>
    <row r="957" s="318" customFormat="1" ht="15.75" customHeight="1"/>
    <row r="958" s="318" customFormat="1" ht="15.75" customHeight="1"/>
    <row r="959" s="318" customFormat="1" ht="15.75" customHeight="1"/>
    <row r="960" s="318" customFormat="1" ht="15.75" customHeight="1"/>
    <row r="961" s="318" customFormat="1" ht="15.75" customHeight="1"/>
    <row r="962" s="318" customFormat="1" ht="15.75" customHeight="1"/>
    <row r="963" s="318" customFormat="1" ht="15.75" customHeight="1"/>
    <row r="964" s="318" customFormat="1" ht="15.75" customHeight="1"/>
    <row r="965" s="318" customFormat="1" ht="15.75" customHeight="1"/>
    <row r="966" s="318" customFormat="1" ht="15.75" customHeight="1"/>
    <row r="967" s="318" customFormat="1" ht="15.75" customHeight="1"/>
    <row r="968" s="318" customFormat="1" ht="15.75" customHeight="1"/>
    <row r="969" s="318" customFormat="1" ht="15.75" customHeight="1"/>
    <row r="970" s="318" customFormat="1" ht="15.75" customHeight="1"/>
    <row r="971" s="318" customFormat="1" ht="15.75" customHeight="1"/>
    <row r="972" s="318" customFormat="1" ht="15.75" customHeight="1"/>
    <row r="973" s="318" customFormat="1" ht="15.75" customHeight="1"/>
    <row r="974" s="318" customFormat="1" ht="15.75" customHeight="1"/>
    <row r="975" s="318" customFormat="1" ht="15.75" customHeight="1"/>
    <row r="976" s="318" customFormat="1" ht="15.75" customHeight="1"/>
    <row r="977" s="318" customFormat="1" ht="15.75" customHeight="1"/>
    <row r="978" s="318" customFormat="1" ht="15.75" customHeight="1"/>
    <row r="979" s="318" customFormat="1" ht="15.75" customHeight="1"/>
    <row r="980" s="318" customFormat="1" ht="15.75" customHeight="1"/>
    <row r="981" s="318" customFormat="1" ht="15.75" customHeight="1"/>
    <row r="982" s="318" customFormat="1" ht="15.75" customHeight="1"/>
    <row r="983" s="318" customFormat="1" ht="15.75" customHeight="1"/>
    <row r="984" s="318" customFormat="1" ht="15.75" customHeight="1"/>
    <row r="985" s="318" customFormat="1" ht="15.75" customHeight="1"/>
    <row r="986" s="318" customFormat="1" ht="15.75" customHeight="1"/>
    <row r="987" s="318" customFormat="1" ht="15.75" customHeight="1"/>
    <row r="988" s="318" customFormat="1" ht="15.75" customHeight="1"/>
    <row r="989" s="318" customFormat="1" ht="15.75" customHeight="1"/>
    <row r="990" s="318" customFormat="1" ht="15.75" customHeight="1"/>
    <row r="991" s="318" customFormat="1" ht="15.75" customHeight="1"/>
    <row r="992" s="318" customFormat="1" ht="15.75" customHeight="1"/>
    <row r="993" s="318" customFormat="1" ht="15.75" customHeight="1"/>
    <row r="994" s="318" customFormat="1" ht="15.75" customHeight="1"/>
    <row r="995" s="318" customFormat="1" ht="15.75" customHeight="1"/>
    <row r="996" s="318" customFormat="1" ht="15.75" customHeight="1"/>
    <row r="997" s="318" customFormat="1" ht="15.75" customHeight="1"/>
    <row r="998" s="318" customFormat="1" ht="15.75" customHeight="1"/>
    <row r="999" s="318" customFormat="1" ht="15.75" customHeight="1"/>
    <row r="1000" s="318" customFormat="1" ht="15.75" customHeight="1"/>
  </sheetData>
  <mergeCells count="115">
    <mergeCell ref="D151:H151"/>
    <mergeCell ref="N151:S151"/>
    <mergeCell ref="A138:AB138"/>
    <mergeCell ref="A139:AB139"/>
    <mergeCell ref="A141:AB141"/>
    <mergeCell ref="O143:S143"/>
    <mergeCell ref="G145:AB145"/>
    <mergeCell ref="P147:AB147"/>
    <mergeCell ref="A150:B150"/>
    <mergeCell ref="C150:D150"/>
    <mergeCell ref="E150:F150"/>
    <mergeCell ref="G150:H150"/>
    <mergeCell ref="I150:J150"/>
    <mergeCell ref="A109:AB109"/>
    <mergeCell ref="C110:AB110"/>
    <mergeCell ref="G112:AB112"/>
    <mergeCell ref="B116:AB117"/>
    <mergeCell ref="Q123:AB123"/>
    <mergeCell ref="Q124:AB124"/>
    <mergeCell ref="Q125:AB125"/>
    <mergeCell ref="Q126:AB126"/>
    <mergeCell ref="A137:AB137"/>
    <mergeCell ref="S89:W89"/>
    <mergeCell ref="S90:W90"/>
    <mergeCell ref="S91:W91"/>
    <mergeCell ref="S92:W92"/>
    <mergeCell ref="S93:W93"/>
    <mergeCell ref="X95:AB95"/>
    <mergeCell ref="A97:AB97"/>
    <mergeCell ref="B106:AB106"/>
    <mergeCell ref="B107:AB107"/>
    <mergeCell ref="A170:Q170"/>
    <mergeCell ref="R170:AB170"/>
    <mergeCell ref="H153:M153"/>
    <mergeCell ref="H155:M155"/>
    <mergeCell ref="E156:I156"/>
    <mergeCell ref="S156:U156"/>
    <mergeCell ref="A158:G158"/>
    <mergeCell ref="H158:M158"/>
    <mergeCell ref="S158:U158"/>
    <mergeCell ref="A50:AB50"/>
    <mergeCell ref="R51:AB51"/>
    <mergeCell ref="G53:AB53"/>
    <mergeCell ref="X76:AB76"/>
    <mergeCell ref="S77:W77"/>
    <mergeCell ref="A159:G159"/>
    <mergeCell ref="H159:M159"/>
    <mergeCell ref="A160:G160"/>
    <mergeCell ref="H160:M160"/>
    <mergeCell ref="X77:AB78"/>
    <mergeCell ref="S78:W78"/>
    <mergeCell ref="X79:AB79"/>
    <mergeCell ref="X80:AB80"/>
    <mergeCell ref="A70:X70"/>
    <mergeCell ref="Y70:AB70"/>
    <mergeCell ref="X72:AB72"/>
    <mergeCell ref="X73:AB73"/>
    <mergeCell ref="X74:AB74"/>
    <mergeCell ref="X75:AB75"/>
    <mergeCell ref="A77:A78"/>
    <mergeCell ref="A86:X86"/>
    <mergeCell ref="Y86:AB86"/>
    <mergeCell ref="S88:W88"/>
    <mergeCell ref="X88:AB92"/>
    <mergeCell ref="E36:L36"/>
    <mergeCell ref="B39:AB39"/>
    <mergeCell ref="I41:AB41"/>
    <mergeCell ref="I42:P42"/>
    <mergeCell ref="V42:AB42"/>
    <mergeCell ref="L43:AB43"/>
    <mergeCell ref="B46:AB47"/>
    <mergeCell ref="B49:P49"/>
    <mergeCell ref="R49:AB49"/>
    <mergeCell ref="Q14:W14"/>
    <mergeCell ref="R15:AB15"/>
    <mergeCell ref="T26:AB26"/>
    <mergeCell ref="V28:AB28"/>
    <mergeCell ref="S29:V29"/>
    <mergeCell ref="Y29:AB29"/>
    <mergeCell ref="E30:AB32"/>
    <mergeCell ref="F34:L34"/>
    <mergeCell ref="P34:U34"/>
    <mergeCell ref="X64:AB64"/>
    <mergeCell ref="X65:AB65"/>
    <mergeCell ref="X66:AB66"/>
    <mergeCell ref="X67:AB67"/>
    <mergeCell ref="X68:AB68"/>
    <mergeCell ref="L1:S1"/>
    <mergeCell ref="L2:S2"/>
    <mergeCell ref="X2:AB2"/>
    <mergeCell ref="A3:K3"/>
    <mergeCell ref="A4:G4"/>
    <mergeCell ref="H4:K4"/>
    <mergeCell ref="L4:S4"/>
    <mergeCell ref="H6:K6"/>
    <mergeCell ref="F14:J14"/>
    <mergeCell ref="H16:L16"/>
    <mergeCell ref="I18:K18"/>
    <mergeCell ref="M18:N18"/>
    <mergeCell ref="A5:G5"/>
    <mergeCell ref="H5:K5"/>
    <mergeCell ref="L5:S6"/>
    <mergeCell ref="A6:G6"/>
    <mergeCell ref="H8:AB8"/>
    <mergeCell ref="Q10:AB10"/>
    <mergeCell ref="R11:AB11"/>
    <mergeCell ref="A56:U56"/>
    <mergeCell ref="V56:X56"/>
    <mergeCell ref="Y56:AB56"/>
    <mergeCell ref="X58:AB58"/>
    <mergeCell ref="X59:AB59"/>
    <mergeCell ref="X60:AB60"/>
    <mergeCell ref="X61:AB61"/>
    <mergeCell ref="X62:AB62"/>
    <mergeCell ref="X63:AB63"/>
  </mergeCells>
  <conditionalFormatting sqref="B39">
    <cfRule type="containsBlanks" dxfId="25" priority="14" stopIfTrue="1">
      <formula>LEN(TRIM(B39))=0</formula>
    </cfRule>
  </conditionalFormatting>
  <conditionalFormatting sqref="B46">
    <cfRule type="containsBlanks" dxfId="24" priority="17" stopIfTrue="1">
      <formula>LEN(TRIM(B46))=0</formula>
    </cfRule>
  </conditionalFormatting>
  <conditionalFormatting sqref="B28:C28 E28:F28 H28:K28">
    <cfRule type="containsBlanks" dxfId="23" priority="8" stopIfTrue="1">
      <formula>LEN(TRIM(B28))=0</formula>
    </cfRule>
  </conditionalFormatting>
  <conditionalFormatting sqref="E36">
    <cfRule type="containsBlanks" dxfId="22" priority="13" stopIfTrue="1">
      <formula>LEN(TRIM(E36))=0</formula>
    </cfRule>
  </conditionalFormatting>
  <conditionalFormatting sqref="F34">
    <cfRule type="containsBlanks" dxfId="21" priority="11" stopIfTrue="1">
      <formula>LEN(TRIM(F34))=0</formula>
    </cfRule>
  </conditionalFormatting>
  <conditionalFormatting sqref="F14:J14">
    <cfRule type="containsBlanks" dxfId="20" priority="6" stopIfTrue="1">
      <formula>LEN(TRIM(F14))=0</formula>
    </cfRule>
  </conditionalFormatting>
  <conditionalFormatting sqref="F12:Q12 Q14 E30 R51 G112">
    <cfRule type="containsBlanks" dxfId="19" priority="5" stopIfTrue="1">
      <formula>LEN(TRIM(E30))=0</formula>
    </cfRule>
  </conditionalFormatting>
  <conditionalFormatting sqref="G53">
    <cfRule type="containsBlanks" dxfId="18" priority="18" stopIfTrue="1">
      <formula>LEN(TRIM(G53))=0</formula>
    </cfRule>
  </conditionalFormatting>
  <conditionalFormatting sqref="H16:L16">
    <cfRule type="containsBlanks" dxfId="17" priority="7" stopIfTrue="1">
      <formula>LEN(TRIM(H16))=0</formula>
    </cfRule>
  </conditionalFormatting>
  <conditionalFormatting sqref="H8:AB8">
    <cfRule type="containsBlanks" dxfId="16" priority="1" stopIfTrue="1">
      <formula>LEN(TRIM(H8))=0</formula>
    </cfRule>
    <cfRule type="containsBlanks" dxfId="15" priority="2" stopIfTrue="1">
      <formula>LEN(TRIM(H8))=0</formula>
    </cfRule>
  </conditionalFormatting>
  <conditionalFormatting sqref="I41:AB41">
    <cfRule type="containsBlanks" dxfId="14" priority="15" stopIfTrue="1">
      <formula>LEN(TRIM(I41))=0</formula>
    </cfRule>
  </conditionalFormatting>
  <conditionalFormatting sqref="L43">
    <cfRule type="containsBlanks" dxfId="13" priority="16" stopIfTrue="1">
      <formula>LEN(TRIM(L43))=0</formula>
    </cfRule>
  </conditionalFormatting>
  <conditionalFormatting sqref="O143:S143">
    <cfRule type="containsBlanks" dxfId="12" priority="19" stopIfTrue="1">
      <formula>LEN(TRIM(O143))=0</formula>
    </cfRule>
  </conditionalFormatting>
  <conditionalFormatting sqref="P34">
    <cfRule type="containsBlanks" dxfId="11" priority="12" stopIfTrue="1">
      <formula>LEN(TRIM(P34))=0</formula>
    </cfRule>
  </conditionalFormatting>
  <conditionalFormatting sqref="Q10">
    <cfRule type="containsBlanks" dxfId="10" priority="3" stopIfTrue="1">
      <formula>LEN(TRIM(Q10))=0</formula>
    </cfRule>
    <cfRule type="containsBlanks" dxfId="9" priority="4" stopIfTrue="1">
      <formula>LEN(TRIM(Q10))=0</formula>
    </cfRule>
  </conditionalFormatting>
  <conditionalFormatting sqref="T26">
    <cfRule type="containsBlanks" dxfId="8" priority="9" stopIfTrue="1">
      <formula>LEN(TRIM(T26))=0</formula>
    </cfRule>
  </conditionalFormatting>
  <conditionalFormatting sqref="V28">
    <cfRule type="containsBlanks" dxfId="7" priority="10" stopIfTrue="1">
      <formula>LEN(TRIM(V28))=0</formula>
    </cfRule>
  </conditionalFormatting>
  <pageMargins left="0.45" right="0.25" top="0.5" bottom="0.4" header="0" footer="0"/>
  <pageSetup orientation="portrait"/>
  <rowBreaks count="3" manualBreakCount="3">
    <brk id="128" man="1"/>
    <brk id="49" man="1"/>
    <brk id="8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7"/>
  <sheetViews>
    <sheetView showGridLines="0" workbookViewId="0">
      <selection activeCell="D6" sqref="D6"/>
    </sheetView>
  </sheetViews>
  <sheetFormatPr defaultColWidth="14.42578125" defaultRowHeight="15" customHeight="1"/>
  <cols>
    <col min="1" max="1" width="33.5703125" style="318" customWidth="1"/>
    <col min="2" max="2" width="12.5703125" style="318" customWidth="1"/>
    <col min="3" max="5" width="14.42578125" style="318"/>
    <col min="6" max="6" width="42.42578125" style="318" customWidth="1"/>
    <col min="7" max="16384" width="14.42578125" style="318"/>
  </cols>
  <sheetData>
    <row r="1" spans="1:8">
      <c r="C1" s="354" t="s">
        <v>108</v>
      </c>
    </row>
    <row r="2" spans="1:8">
      <c r="A2" s="355" t="s">
        <v>109</v>
      </c>
      <c r="B2" s="356" t="s">
        <v>110</v>
      </c>
      <c r="C2" s="356" t="s">
        <v>110</v>
      </c>
    </row>
    <row r="3" spans="1:8">
      <c r="A3" s="357" t="s">
        <v>111</v>
      </c>
      <c r="B3" s="358"/>
      <c r="C3" s="358">
        <f>Return!X68</f>
        <v>5382966.6666666679</v>
      </c>
    </row>
    <row r="4" spans="1:8" ht="27" customHeight="1">
      <c r="A4" s="359" t="s">
        <v>112</v>
      </c>
      <c r="B4" s="358"/>
      <c r="C4" s="358"/>
      <c r="F4" s="355" t="s">
        <v>113</v>
      </c>
      <c r="G4" s="360"/>
      <c r="H4" s="356" t="s">
        <v>110</v>
      </c>
    </row>
    <row r="5" spans="1:8">
      <c r="A5" s="361" t="s">
        <v>114</v>
      </c>
      <c r="B5" s="358">
        <f>'Income from Financial Assets'!B6</f>
        <v>30000</v>
      </c>
      <c r="C5" s="358"/>
      <c r="F5" s="357" t="s">
        <v>115</v>
      </c>
      <c r="H5" s="358">
        <v>120000</v>
      </c>
    </row>
    <row r="6" spans="1:8" ht="30">
      <c r="A6" s="361" t="s">
        <v>116</v>
      </c>
      <c r="B6" s="362">
        <f>'Income from Financial Assets'!B7</f>
        <v>30000</v>
      </c>
      <c r="C6" s="362">
        <f>SUM(B5:B6)</f>
        <v>60000</v>
      </c>
      <c r="F6" s="357" t="s">
        <v>117</v>
      </c>
      <c r="H6" s="358">
        <v>50000</v>
      </c>
    </row>
    <row r="7" spans="1:8">
      <c r="A7" s="363" t="s">
        <v>118</v>
      </c>
      <c r="B7" s="364"/>
      <c r="C7" s="365">
        <f>C3-C6</f>
        <v>5322966.6666666679</v>
      </c>
      <c r="F7" s="357" t="s">
        <v>119</v>
      </c>
      <c r="H7" s="358">
        <v>100000</v>
      </c>
    </row>
    <row r="8" spans="1:8">
      <c r="F8" s="357" t="s">
        <v>120</v>
      </c>
      <c r="H8" s="358">
        <v>400000</v>
      </c>
    </row>
    <row r="9" spans="1:8">
      <c r="F9" s="357" t="s">
        <v>121</v>
      </c>
      <c r="H9" s="358">
        <f>'Workings Income from Employment'!C8*2</f>
        <v>96000</v>
      </c>
    </row>
    <row r="10" spans="1:8">
      <c r="F10" s="357" t="s">
        <v>122</v>
      </c>
      <c r="H10" s="358">
        <v>100000</v>
      </c>
    </row>
    <row r="11" spans="1:8">
      <c r="F11" s="357" t="s">
        <v>123</v>
      </c>
      <c r="H11" s="362">
        <v>60000</v>
      </c>
    </row>
    <row r="12" spans="1:8">
      <c r="F12" s="366" t="s">
        <v>124</v>
      </c>
      <c r="G12" s="367"/>
      <c r="H12" s="368">
        <f>SUM(H5:H11)</f>
        <v>926000</v>
      </c>
    </row>
    <row r="13" spans="1:8">
      <c r="A13" s="355" t="s">
        <v>125</v>
      </c>
      <c r="B13" s="356" t="s">
        <v>126</v>
      </c>
      <c r="C13" s="356" t="s">
        <v>127</v>
      </c>
      <c r="D13" s="356" t="s">
        <v>128</v>
      </c>
    </row>
    <row r="14" spans="1:8">
      <c r="A14" s="357" t="s">
        <v>129</v>
      </c>
      <c r="B14" s="358">
        <v>350000</v>
      </c>
      <c r="C14" s="369">
        <v>0</v>
      </c>
      <c r="D14" s="358">
        <f t="shared" ref="D14:D20" si="0">B14*C14</f>
        <v>0</v>
      </c>
    </row>
    <row r="15" spans="1:8">
      <c r="A15" s="357" t="s">
        <v>130</v>
      </c>
      <c r="B15" s="358">
        <v>100000</v>
      </c>
      <c r="C15" s="369">
        <v>0.05</v>
      </c>
      <c r="D15" s="358">
        <f t="shared" si="0"/>
        <v>5000</v>
      </c>
      <c r="F15" s="355" t="s">
        <v>131</v>
      </c>
      <c r="G15" s="360"/>
      <c r="H15" s="356" t="s">
        <v>110</v>
      </c>
    </row>
    <row r="16" spans="1:8">
      <c r="A16" s="357" t="s">
        <v>132</v>
      </c>
      <c r="B16" s="358">
        <v>400000</v>
      </c>
      <c r="C16" s="369">
        <v>0.1</v>
      </c>
      <c r="D16" s="358">
        <f t="shared" si="0"/>
        <v>40000</v>
      </c>
      <c r="F16" s="357" t="s">
        <v>133</v>
      </c>
      <c r="H16" s="358">
        <f>'Income from Financial Assets'!B3*10%</f>
        <v>500</v>
      </c>
    </row>
    <row r="17" spans="1:8">
      <c r="A17" s="357" t="s">
        <v>134</v>
      </c>
      <c r="B17" s="358">
        <v>500000</v>
      </c>
      <c r="C17" s="369">
        <v>0.15</v>
      </c>
      <c r="D17" s="358">
        <f t="shared" si="0"/>
        <v>75000</v>
      </c>
      <c r="F17" s="357" t="s">
        <v>135</v>
      </c>
      <c r="H17" s="358">
        <f>'Income from Financial Assets'!B4*10%</f>
        <v>300</v>
      </c>
    </row>
    <row r="18" spans="1:8">
      <c r="A18" s="357" t="s">
        <v>134</v>
      </c>
      <c r="B18" s="358">
        <v>500000</v>
      </c>
      <c r="C18" s="369">
        <v>0.2</v>
      </c>
      <c r="D18" s="358">
        <f t="shared" si="0"/>
        <v>100000</v>
      </c>
      <c r="F18" s="357" t="s">
        <v>136</v>
      </c>
      <c r="H18" s="358">
        <f>'Income from Financial Assets'!B5*10%</f>
        <v>200</v>
      </c>
    </row>
    <row r="19" spans="1:8">
      <c r="A19" s="357" t="s">
        <v>137</v>
      </c>
      <c r="B19" s="358">
        <v>2000000</v>
      </c>
      <c r="C19" s="369">
        <v>0.25</v>
      </c>
      <c r="D19" s="358">
        <f t="shared" si="0"/>
        <v>500000</v>
      </c>
      <c r="F19" s="357" t="s">
        <v>138</v>
      </c>
      <c r="H19" s="358">
        <f>'Income from Financial Assets'!B8*10%</f>
        <v>6000</v>
      </c>
    </row>
    <row r="20" spans="1:8">
      <c r="A20" s="366" t="s">
        <v>139</v>
      </c>
      <c r="B20" s="364">
        <f>C7-SUM(B14:B19)</f>
        <v>1472966.6666666679</v>
      </c>
      <c r="C20" s="370">
        <v>0.3</v>
      </c>
      <c r="D20" s="364">
        <f t="shared" si="0"/>
        <v>441890.00000000035</v>
      </c>
      <c r="F20" s="357" t="s">
        <v>140</v>
      </c>
      <c r="H20" s="358">
        <f>'Income from Other Sources'!C3*20%</f>
        <v>6000</v>
      </c>
    </row>
    <row r="21" spans="1:8">
      <c r="A21" s="363" t="s">
        <v>118</v>
      </c>
      <c r="B21" s="368">
        <f>SUM(B14:B20)</f>
        <v>5322966.6666666679</v>
      </c>
      <c r="C21" s="371" t="s">
        <v>141</v>
      </c>
      <c r="D21" s="368">
        <f>SUM(D14:D20)</f>
        <v>1161890.0000000005</v>
      </c>
      <c r="F21" s="357" t="s">
        <v>142</v>
      </c>
      <c r="H21" s="358">
        <f>'Income from Financial Assets'!B6*10%</f>
        <v>3000</v>
      </c>
    </row>
    <row r="22" spans="1:8">
      <c r="F22" s="357" t="s">
        <v>143</v>
      </c>
      <c r="H22" s="358">
        <f>'Income from Financial Assets'!B7*10%</f>
        <v>3000</v>
      </c>
    </row>
    <row r="23" spans="1:8">
      <c r="F23" s="366" t="s">
        <v>144</v>
      </c>
      <c r="G23" s="367"/>
      <c r="H23" s="372">
        <f>SUM(H16:H22)</f>
        <v>19000</v>
      </c>
    </row>
    <row r="24" spans="1:8">
      <c r="A24" s="355" t="s">
        <v>145</v>
      </c>
      <c r="B24" s="360"/>
      <c r="C24" s="356" t="s">
        <v>110</v>
      </c>
    </row>
    <row r="25" spans="1:8">
      <c r="A25" s="357" t="s">
        <v>146</v>
      </c>
      <c r="C25" s="373">
        <f>B21*3%</f>
        <v>159689.00000000003</v>
      </c>
      <c r="D25" s="374" t="s">
        <v>147</v>
      </c>
      <c r="E25" s="347"/>
    </row>
    <row r="26" spans="1:8">
      <c r="A26" s="357" t="s">
        <v>148</v>
      </c>
      <c r="C26" s="373">
        <f>H12*15%</f>
        <v>138900</v>
      </c>
      <c r="D26" s="337"/>
      <c r="E26" s="341"/>
    </row>
    <row r="27" spans="1:8">
      <c r="A27" s="357" t="s">
        <v>149</v>
      </c>
      <c r="C27" s="375">
        <v>1000000</v>
      </c>
      <c r="D27" s="337"/>
      <c r="E27" s="341"/>
    </row>
    <row r="28" spans="1:8">
      <c r="A28" s="363" t="s">
        <v>150</v>
      </c>
      <c r="B28" s="367"/>
      <c r="C28" s="365">
        <f>MIN(C25:C27)</f>
        <v>138900</v>
      </c>
      <c r="D28" s="349"/>
      <c r="E28" s="351"/>
    </row>
    <row r="30" spans="1:8">
      <c r="A30" s="355" t="s">
        <v>151</v>
      </c>
      <c r="B30" s="360"/>
      <c r="C30" s="356" t="s">
        <v>110</v>
      </c>
    </row>
    <row r="31" spans="1:8">
      <c r="A31" s="357" t="s">
        <v>152</v>
      </c>
      <c r="C31" s="358">
        <v>5000</v>
      </c>
      <c r="D31" s="374" t="s">
        <v>153</v>
      </c>
      <c r="E31" s="347"/>
    </row>
    <row r="32" spans="1:8">
      <c r="A32" s="357" t="s">
        <v>154</v>
      </c>
      <c r="C32" s="364">
        <f>SUM(H16:H20)</f>
        <v>13000</v>
      </c>
      <c r="D32" s="337"/>
      <c r="E32" s="341"/>
    </row>
    <row r="33" spans="1:5">
      <c r="A33" s="363" t="s">
        <v>155</v>
      </c>
      <c r="B33" s="367"/>
      <c r="C33" s="365">
        <f>MAX(C31:C32)</f>
        <v>13000</v>
      </c>
      <c r="D33" s="349"/>
      <c r="E33" s="351"/>
    </row>
    <row r="35" spans="1:5">
      <c r="A35" s="355" t="s">
        <v>156</v>
      </c>
      <c r="B35" s="360"/>
      <c r="C35" s="356" t="s">
        <v>110</v>
      </c>
    </row>
    <row r="36" spans="1:5">
      <c r="A36" s="357" t="s">
        <v>157</v>
      </c>
      <c r="C36" s="358">
        <f>D21</f>
        <v>1161890.0000000005</v>
      </c>
    </row>
    <row r="37" spans="1:5">
      <c r="A37" s="357" t="s">
        <v>158</v>
      </c>
      <c r="C37" s="364">
        <f>C28</f>
        <v>138900</v>
      </c>
    </row>
    <row r="38" spans="1:5">
      <c r="A38" s="376" t="s">
        <v>159</v>
      </c>
      <c r="C38" s="358">
        <f>C36-C37</f>
        <v>1022990.0000000005</v>
      </c>
    </row>
    <row r="39" spans="1:5">
      <c r="A39" s="357" t="s">
        <v>155</v>
      </c>
      <c r="C39" s="364">
        <f>C33</f>
        <v>13000</v>
      </c>
    </row>
    <row r="40" spans="1:5">
      <c r="A40" s="376" t="s">
        <v>160</v>
      </c>
      <c r="C40" s="358">
        <f>MAXA(C38:C39)</f>
        <v>1022990.0000000005</v>
      </c>
    </row>
    <row r="41" spans="1:5">
      <c r="A41" s="357" t="s">
        <v>161</v>
      </c>
      <c r="C41" s="358"/>
    </row>
    <row r="42" spans="1:5">
      <c r="A42" s="377" t="s">
        <v>162</v>
      </c>
      <c r="C42" s="358">
        <f>0</f>
        <v>0</v>
      </c>
    </row>
    <row r="43" spans="1:5">
      <c r="A43" s="377" t="s">
        <v>163</v>
      </c>
      <c r="C43" s="358">
        <v>0</v>
      </c>
    </row>
    <row r="44" spans="1:5">
      <c r="A44" s="378" t="s">
        <v>164</v>
      </c>
      <c r="C44" s="358"/>
    </row>
    <row r="45" spans="1:5">
      <c r="A45" s="377" t="s">
        <v>165</v>
      </c>
      <c r="C45" s="358">
        <f>H23</f>
        <v>19000</v>
      </c>
    </row>
    <row r="46" spans="1:5">
      <c r="A46" s="377" t="s">
        <v>166</v>
      </c>
      <c r="C46" s="358"/>
    </row>
    <row r="47" spans="1:5">
      <c r="A47" s="363" t="s">
        <v>167</v>
      </c>
      <c r="B47" s="367"/>
      <c r="C47" s="372">
        <f>C40-C45</f>
        <v>1003990.0000000005</v>
      </c>
    </row>
  </sheetData>
  <mergeCells count="2">
    <mergeCell ref="D25:E28"/>
    <mergeCell ref="D31:E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showGridLines="0" workbookViewId="0">
      <selection activeCell="AC10" sqref="AC10"/>
    </sheetView>
  </sheetViews>
  <sheetFormatPr defaultColWidth="14.42578125" defaultRowHeight="15" customHeight="1"/>
  <cols>
    <col min="1" max="22" width="3.5703125" customWidth="1"/>
    <col min="23" max="23" width="6.7109375" customWidth="1"/>
    <col min="24" max="24" width="3.85546875" customWidth="1"/>
    <col min="25" max="28" width="8.85546875" customWidth="1"/>
  </cols>
  <sheetData>
    <row r="1" spans="1:28" ht="14.25" customHeight="1">
      <c r="A1" s="201" t="s">
        <v>168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4"/>
      <c r="Y1" s="70"/>
      <c r="Z1" s="70"/>
      <c r="AA1" s="70"/>
      <c r="AB1" s="70"/>
    </row>
    <row r="2" spans="1:28" ht="14.25" customHeight="1">
      <c r="A2" s="201" t="s">
        <v>169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4"/>
      <c r="Y2" s="70"/>
      <c r="Z2" s="70"/>
      <c r="AA2" s="70"/>
      <c r="AB2" s="70"/>
    </row>
    <row r="3" spans="1:28" ht="14.25" customHeight="1">
      <c r="A3" s="217" t="s">
        <v>170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3"/>
      <c r="Y3" s="70"/>
      <c r="Z3" s="70"/>
      <c r="AA3" s="70"/>
      <c r="AB3" s="70"/>
    </row>
    <row r="4" spans="1:28" ht="3.75" customHeight="1">
      <c r="A4" s="21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</row>
    <row r="5" spans="1:28" ht="14.25" customHeight="1">
      <c r="A5" s="16" t="s">
        <v>16</v>
      </c>
      <c r="B5" s="6"/>
      <c r="C5" s="3"/>
      <c r="D5" s="3"/>
      <c r="E5" s="3"/>
      <c r="F5" s="3"/>
      <c r="G5" s="222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0"/>
      <c r="Y5" s="10"/>
      <c r="Z5" s="10"/>
      <c r="AA5" s="10"/>
      <c r="AB5" s="10"/>
    </row>
    <row r="6" spans="1:28" ht="14.25" customHeight="1">
      <c r="A6" s="71"/>
      <c r="B6" s="54"/>
      <c r="C6" s="54"/>
      <c r="D6" s="54"/>
      <c r="E6" s="54"/>
      <c r="F6" s="54"/>
      <c r="G6" s="54"/>
      <c r="H6" s="54"/>
      <c r="I6" s="4" t="s">
        <v>53</v>
      </c>
      <c r="J6" s="4"/>
      <c r="K6" s="31"/>
      <c r="L6" s="31"/>
      <c r="M6" s="31"/>
      <c r="N6" s="32"/>
      <c r="O6" s="31"/>
      <c r="P6" s="31"/>
      <c r="Q6" s="31"/>
      <c r="R6" s="32"/>
      <c r="S6" s="31"/>
      <c r="T6" s="31"/>
      <c r="U6" s="31"/>
      <c r="V6" s="55"/>
      <c r="W6" s="70"/>
      <c r="X6" s="70"/>
      <c r="Y6" s="70"/>
      <c r="Z6" s="70"/>
      <c r="AA6" s="70"/>
      <c r="AB6" s="70"/>
    </row>
    <row r="7" spans="1:28" ht="7.5" customHeight="1">
      <c r="A7" s="71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70"/>
      <c r="Y7" s="70"/>
      <c r="Z7" s="70"/>
      <c r="AA7" s="70"/>
      <c r="AB7" s="70"/>
    </row>
    <row r="8" spans="1:28" ht="26.25" customHeight="1">
      <c r="A8" s="72" t="s">
        <v>171</v>
      </c>
      <c r="B8" s="252" t="s">
        <v>172</v>
      </c>
      <c r="C8" s="203"/>
      <c r="D8" s="203"/>
      <c r="E8" s="203"/>
      <c r="F8" s="203"/>
      <c r="G8" s="203"/>
      <c r="H8" s="203"/>
      <c r="I8" s="203"/>
      <c r="J8" s="203"/>
      <c r="K8" s="199"/>
      <c r="L8" s="231" t="s">
        <v>173</v>
      </c>
      <c r="M8" s="203"/>
      <c r="N8" s="203"/>
      <c r="O8" s="199"/>
      <c r="P8" s="250" t="s">
        <v>174</v>
      </c>
      <c r="Q8" s="203"/>
      <c r="R8" s="203"/>
      <c r="S8" s="199"/>
      <c r="T8" s="250" t="s">
        <v>175</v>
      </c>
      <c r="U8" s="203"/>
      <c r="V8" s="203"/>
      <c r="W8" s="199"/>
      <c r="X8" s="70"/>
      <c r="Y8" s="70"/>
      <c r="Z8" s="70"/>
      <c r="AA8" s="70"/>
      <c r="AB8" s="70"/>
    </row>
    <row r="9" spans="1:28" ht="18" customHeight="1">
      <c r="A9" s="72">
        <v>1</v>
      </c>
      <c r="B9" s="252" t="s">
        <v>176</v>
      </c>
      <c r="C9" s="203"/>
      <c r="D9" s="203"/>
      <c r="E9" s="203"/>
      <c r="F9" s="203"/>
      <c r="G9" s="203"/>
      <c r="H9" s="203"/>
      <c r="I9" s="203"/>
      <c r="J9" s="203"/>
      <c r="K9" s="199"/>
      <c r="L9" s="251"/>
      <c r="M9" s="203"/>
      <c r="N9" s="203"/>
      <c r="O9" s="199"/>
      <c r="P9" s="251"/>
      <c r="Q9" s="203"/>
      <c r="R9" s="203"/>
      <c r="S9" s="199"/>
      <c r="T9" s="251"/>
      <c r="U9" s="203"/>
      <c r="V9" s="203"/>
      <c r="W9" s="199"/>
      <c r="X9" s="70"/>
      <c r="Y9" s="70"/>
      <c r="Z9" s="70"/>
      <c r="AA9" s="70"/>
      <c r="AB9" s="70"/>
    </row>
    <row r="10" spans="1:28" ht="27.75" customHeight="1">
      <c r="A10" s="72">
        <f t="shared" ref="A10:A25" si="0">A9+1</f>
        <v>2</v>
      </c>
      <c r="B10" s="253" t="s">
        <v>177</v>
      </c>
      <c r="C10" s="203"/>
      <c r="D10" s="203"/>
      <c r="E10" s="203"/>
      <c r="F10" s="203"/>
      <c r="G10" s="203"/>
      <c r="H10" s="203"/>
      <c r="I10" s="203"/>
      <c r="J10" s="203"/>
      <c r="K10" s="199"/>
      <c r="L10" s="251"/>
      <c r="M10" s="203"/>
      <c r="N10" s="203"/>
      <c r="O10" s="199"/>
      <c r="P10" s="251"/>
      <c r="Q10" s="203"/>
      <c r="R10" s="203"/>
      <c r="S10" s="199"/>
      <c r="T10" s="251"/>
      <c r="U10" s="203"/>
      <c r="V10" s="203"/>
      <c r="W10" s="199"/>
      <c r="X10" s="70"/>
      <c r="Y10" s="70"/>
      <c r="Z10" s="70"/>
      <c r="AA10" s="70"/>
      <c r="AB10" s="70"/>
    </row>
    <row r="11" spans="1:28" ht="18" customHeight="1">
      <c r="A11" s="72">
        <f t="shared" si="0"/>
        <v>3</v>
      </c>
      <c r="B11" s="254" t="s">
        <v>178</v>
      </c>
      <c r="C11" s="203"/>
      <c r="D11" s="203"/>
      <c r="E11" s="203"/>
      <c r="F11" s="203"/>
      <c r="G11" s="203"/>
      <c r="H11" s="203"/>
      <c r="I11" s="203"/>
      <c r="J11" s="203"/>
      <c r="K11" s="199"/>
      <c r="L11" s="251"/>
      <c r="M11" s="203"/>
      <c r="N11" s="203"/>
      <c r="O11" s="199"/>
      <c r="P11" s="251"/>
      <c r="Q11" s="203"/>
      <c r="R11" s="203"/>
      <c r="S11" s="199"/>
      <c r="T11" s="251"/>
      <c r="U11" s="203"/>
      <c r="V11" s="203"/>
      <c r="W11" s="199"/>
      <c r="X11" s="70"/>
      <c r="Y11" s="70"/>
      <c r="Z11" s="70"/>
      <c r="AA11" s="70"/>
      <c r="AB11" s="70"/>
    </row>
    <row r="12" spans="1:28" ht="18" customHeight="1">
      <c r="A12" s="72">
        <f t="shared" si="0"/>
        <v>4</v>
      </c>
      <c r="B12" s="254" t="s">
        <v>179</v>
      </c>
      <c r="C12" s="203"/>
      <c r="D12" s="203"/>
      <c r="E12" s="203"/>
      <c r="F12" s="203"/>
      <c r="G12" s="203"/>
      <c r="H12" s="203"/>
      <c r="I12" s="203"/>
      <c r="J12" s="203"/>
      <c r="K12" s="199"/>
      <c r="L12" s="251"/>
      <c r="M12" s="203"/>
      <c r="N12" s="203"/>
      <c r="O12" s="199"/>
      <c r="P12" s="251"/>
      <c r="Q12" s="203"/>
      <c r="R12" s="203"/>
      <c r="S12" s="199"/>
      <c r="T12" s="251"/>
      <c r="U12" s="203"/>
      <c r="V12" s="203"/>
      <c r="W12" s="199"/>
      <c r="X12" s="70"/>
      <c r="Y12" s="70"/>
      <c r="Z12" s="70"/>
      <c r="AA12" s="70"/>
      <c r="AB12" s="70"/>
    </row>
    <row r="13" spans="1:28" ht="18" customHeight="1">
      <c r="A13" s="72">
        <f t="shared" si="0"/>
        <v>5</v>
      </c>
      <c r="B13" s="254" t="s">
        <v>180</v>
      </c>
      <c r="C13" s="203"/>
      <c r="D13" s="203"/>
      <c r="E13" s="203"/>
      <c r="F13" s="203"/>
      <c r="G13" s="203"/>
      <c r="H13" s="203"/>
      <c r="I13" s="203"/>
      <c r="J13" s="203"/>
      <c r="K13" s="199"/>
      <c r="L13" s="251"/>
      <c r="M13" s="203"/>
      <c r="N13" s="203"/>
      <c r="O13" s="199"/>
      <c r="P13" s="251"/>
      <c r="Q13" s="203"/>
      <c r="R13" s="203"/>
      <c r="S13" s="199"/>
      <c r="T13" s="251"/>
      <c r="U13" s="203"/>
      <c r="V13" s="203"/>
      <c r="W13" s="199"/>
      <c r="X13" s="70"/>
      <c r="Y13" s="70"/>
      <c r="Z13" s="70"/>
      <c r="AA13" s="70"/>
      <c r="AB13" s="70"/>
    </row>
    <row r="14" spans="1:28" ht="18" customHeight="1">
      <c r="A14" s="72">
        <f t="shared" si="0"/>
        <v>6</v>
      </c>
      <c r="B14" s="254" t="s">
        <v>181</v>
      </c>
      <c r="C14" s="203"/>
      <c r="D14" s="203"/>
      <c r="E14" s="203"/>
      <c r="F14" s="203"/>
      <c r="G14" s="203"/>
      <c r="H14" s="203"/>
      <c r="I14" s="203"/>
      <c r="J14" s="203"/>
      <c r="K14" s="199"/>
      <c r="L14" s="251"/>
      <c r="M14" s="203"/>
      <c r="N14" s="203"/>
      <c r="O14" s="199"/>
      <c r="P14" s="251"/>
      <c r="Q14" s="203"/>
      <c r="R14" s="203"/>
      <c r="S14" s="199"/>
      <c r="T14" s="251"/>
      <c r="U14" s="203"/>
      <c r="V14" s="203"/>
      <c r="W14" s="199"/>
      <c r="X14" s="70"/>
      <c r="Y14" s="70"/>
      <c r="Z14" s="70"/>
      <c r="AA14" s="70"/>
      <c r="AB14" s="70"/>
    </row>
    <row r="15" spans="1:28" ht="18" customHeight="1">
      <c r="A15" s="72">
        <f t="shared" si="0"/>
        <v>7</v>
      </c>
      <c r="B15" s="254" t="s">
        <v>182</v>
      </c>
      <c r="C15" s="203"/>
      <c r="D15" s="203"/>
      <c r="E15" s="203"/>
      <c r="F15" s="203"/>
      <c r="G15" s="203"/>
      <c r="H15" s="203"/>
      <c r="I15" s="203"/>
      <c r="J15" s="203"/>
      <c r="K15" s="199"/>
      <c r="L15" s="251"/>
      <c r="M15" s="203"/>
      <c r="N15" s="203"/>
      <c r="O15" s="199"/>
      <c r="P15" s="251"/>
      <c r="Q15" s="203"/>
      <c r="R15" s="203"/>
      <c r="S15" s="199"/>
      <c r="T15" s="251"/>
      <c r="U15" s="203"/>
      <c r="V15" s="203"/>
      <c r="W15" s="199"/>
      <c r="X15" s="70"/>
      <c r="Y15" s="70"/>
      <c r="Z15" s="70"/>
      <c r="AA15" s="70"/>
      <c r="AB15" s="70"/>
    </row>
    <row r="16" spans="1:28" ht="18" customHeight="1">
      <c r="A16" s="72">
        <f t="shared" si="0"/>
        <v>8</v>
      </c>
      <c r="B16" s="254" t="s">
        <v>183</v>
      </c>
      <c r="C16" s="203"/>
      <c r="D16" s="203"/>
      <c r="E16" s="203"/>
      <c r="F16" s="203"/>
      <c r="G16" s="203"/>
      <c r="H16" s="203"/>
      <c r="I16" s="203"/>
      <c r="J16" s="203"/>
      <c r="K16" s="199"/>
      <c r="L16" s="251"/>
      <c r="M16" s="203"/>
      <c r="N16" s="203"/>
      <c r="O16" s="199"/>
      <c r="P16" s="251"/>
      <c r="Q16" s="203"/>
      <c r="R16" s="203"/>
      <c r="S16" s="199"/>
      <c r="T16" s="251"/>
      <c r="U16" s="203"/>
      <c r="V16" s="203"/>
      <c r="W16" s="199"/>
      <c r="X16" s="70"/>
      <c r="Y16" s="70"/>
      <c r="Z16" s="70"/>
      <c r="AA16" s="70"/>
      <c r="AB16" s="70"/>
    </row>
    <row r="17" spans="1:28" ht="18" customHeight="1">
      <c r="A17" s="72">
        <f t="shared" si="0"/>
        <v>9</v>
      </c>
      <c r="B17" s="254" t="s">
        <v>184</v>
      </c>
      <c r="C17" s="203"/>
      <c r="D17" s="203"/>
      <c r="E17" s="203"/>
      <c r="F17" s="203"/>
      <c r="G17" s="203"/>
      <c r="H17" s="203"/>
      <c r="I17" s="203"/>
      <c r="J17" s="203"/>
      <c r="K17" s="199"/>
      <c r="L17" s="251"/>
      <c r="M17" s="203"/>
      <c r="N17" s="203"/>
      <c r="O17" s="199"/>
      <c r="P17" s="251"/>
      <c r="Q17" s="203"/>
      <c r="R17" s="203"/>
      <c r="S17" s="199"/>
      <c r="T17" s="251"/>
      <c r="U17" s="203"/>
      <c r="V17" s="203"/>
      <c r="W17" s="199"/>
      <c r="X17" s="70"/>
      <c r="Y17" s="70"/>
      <c r="Z17" s="70"/>
      <c r="AA17" s="70"/>
      <c r="AB17" s="70"/>
    </row>
    <row r="18" spans="1:28" ht="18" customHeight="1">
      <c r="A18" s="72">
        <f t="shared" si="0"/>
        <v>10</v>
      </c>
      <c r="B18" s="254" t="s">
        <v>185</v>
      </c>
      <c r="C18" s="203"/>
      <c r="D18" s="203"/>
      <c r="E18" s="203"/>
      <c r="F18" s="203"/>
      <c r="G18" s="203"/>
      <c r="H18" s="203"/>
      <c r="I18" s="203"/>
      <c r="J18" s="203"/>
      <c r="K18" s="199"/>
      <c r="L18" s="251"/>
      <c r="M18" s="203"/>
      <c r="N18" s="203"/>
      <c r="O18" s="199"/>
      <c r="P18" s="251"/>
      <c r="Q18" s="203"/>
      <c r="R18" s="203"/>
      <c r="S18" s="199"/>
      <c r="T18" s="251"/>
      <c r="U18" s="203"/>
      <c r="V18" s="203"/>
      <c r="W18" s="199"/>
      <c r="X18" s="70"/>
      <c r="Y18" s="70"/>
      <c r="Z18" s="70"/>
      <c r="AA18" s="70"/>
      <c r="AB18" s="70"/>
    </row>
    <row r="19" spans="1:28" ht="18" customHeight="1">
      <c r="A19" s="72">
        <f t="shared" si="0"/>
        <v>11</v>
      </c>
      <c r="B19" s="254" t="s">
        <v>186</v>
      </c>
      <c r="C19" s="203"/>
      <c r="D19" s="203"/>
      <c r="E19" s="203"/>
      <c r="F19" s="203"/>
      <c r="G19" s="203"/>
      <c r="H19" s="203"/>
      <c r="I19" s="203"/>
      <c r="J19" s="203"/>
      <c r="K19" s="199"/>
      <c r="L19" s="251"/>
      <c r="M19" s="203"/>
      <c r="N19" s="203"/>
      <c r="O19" s="199"/>
      <c r="P19" s="251"/>
      <c r="Q19" s="203"/>
      <c r="R19" s="203"/>
      <c r="S19" s="199"/>
      <c r="T19" s="251"/>
      <c r="U19" s="203"/>
      <c r="V19" s="203"/>
      <c r="W19" s="199"/>
      <c r="X19" s="70"/>
      <c r="Y19" s="70"/>
      <c r="Z19" s="70"/>
      <c r="AA19" s="70"/>
      <c r="AB19" s="70"/>
    </row>
    <row r="20" spans="1:28" ht="18" customHeight="1">
      <c r="A20" s="72">
        <f t="shared" si="0"/>
        <v>12</v>
      </c>
      <c r="B20" s="254" t="s">
        <v>187</v>
      </c>
      <c r="C20" s="203"/>
      <c r="D20" s="203"/>
      <c r="E20" s="203"/>
      <c r="F20" s="203"/>
      <c r="G20" s="203"/>
      <c r="H20" s="203"/>
      <c r="I20" s="203"/>
      <c r="J20" s="203"/>
      <c r="K20" s="199"/>
      <c r="L20" s="251"/>
      <c r="M20" s="203"/>
      <c r="N20" s="203"/>
      <c r="O20" s="199"/>
      <c r="P20" s="251"/>
      <c r="Q20" s="203"/>
      <c r="R20" s="203"/>
      <c r="S20" s="199"/>
      <c r="T20" s="251"/>
      <c r="U20" s="203"/>
      <c r="V20" s="203"/>
      <c r="W20" s="199"/>
      <c r="X20" s="70"/>
      <c r="Y20" s="70"/>
      <c r="Z20" s="70"/>
      <c r="AA20" s="70"/>
      <c r="AB20" s="70"/>
    </row>
    <row r="21" spans="1:28" ht="18" customHeight="1">
      <c r="A21" s="72">
        <f t="shared" si="0"/>
        <v>13</v>
      </c>
      <c r="B21" s="254" t="s">
        <v>188</v>
      </c>
      <c r="C21" s="203"/>
      <c r="D21" s="203"/>
      <c r="E21" s="203"/>
      <c r="F21" s="203"/>
      <c r="G21" s="203"/>
      <c r="H21" s="203"/>
      <c r="I21" s="203"/>
      <c r="J21" s="203"/>
      <c r="K21" s="199"/>
      <c r="L21" s="251"/>
      <c r="M21" s="203"/>
      <c r="N21" s="203"/>
      <c r="O21" s="199"/>
      <c r="P21" s="251"/>
      <c r="Q21" s="203"/>
      <c r="R21" s="203"/>
      <c r="S21" s="199"/>
      <c r="T21" s="251"/>
      <c r="U21" s="203"/>
      <c r="V21" s="203"/>
      <c r="W21" s="199"/>
      <c r="X21" s="70"/>
      <c r="Y21" s="70"/>
      <c r="Z21" s="70"/>
      <c r="AA21" s="70"/>
      <c r="AB21" s="70"/>
    </row>
    <row r="22" spans="1:28" ht="18" customHeight="1">
      <c r="A22" s="72">
        <f t="shared" si="0"/>
        <v>14</v>
      </c>
      <c r="B22" s="254" t="s">
        <v>189</v>
      </c>
      <c r="C22" s="203"/>
      <c r="D22" s="203"/>
      <c r="E22" s="203"/>
      <c r="F22" s="203"/>
      <c r="G22" s="203"/>
      <c r="H22" s="203"/>
      <c r="I22" s="203"/>
      <c r="J22" s="203"/>
      <c r="K22" s="199"/>
      <c r="L22" s="251"/>
      <c r="M22" s="203"/>
      <c r="N22" s="203"/>
      <c r="O22" s="199"/>
      <c r="P22" s="251"/>
      <c r="Q22" s="203"/>
      <c r="R22" s="203"/>
      <c r="S22" s="199"/>
      <c r="T22" s="251"/>
      <c r="U22" s="203"/>
      <c r="V22" s="203"/>
      <c r="W22" s="199"/>
      <c r="X22" s="70"/>
      <c r="Y22" s="70"/>
      <c r="Z22" s="70"/>
      <c r="AA22" s="70"/>
      <c r="AB22" s="70"/>
    </row>
    <row r="23" spans="1:28" ht="18" customHeight="1">
      <c r="A23" s="72">
        <f t="shared" si="0"/>
        <v>15</v>
      </c>
      <c r="B23" s="254" t="s">
        <v>190</v>
      </c>
      <c r="C23" s="203"/>
      <c r="D23" s="203"/>
      <c r="E23" s="203"/>
      <c r="F23" s="203"/>
      <c r="G23" s="203"/>
      <c r="H23" s="203"/>
      <c r="I23" s="203"/>
      <c r="J23" s="203"/>
      <c r="K23" s="199"/>
      <c r="L23" s="251"/>
      <c r="M23" s="203"/>
      <c r="N23" s="203"/>
      <c r="O23" s="199"/>
      <c r="P23" s="251"/>
      <c r="Q23" s="203"/>
      <c r="R23" s="203"/>
      <c r="S23" s="199"/>
      <c r="T23" s="251"/>
      <c r="U23" s="203"/>
      <c r="V23" s="203"/>
      <c r="W23" s="199"/>
      <c r="X23" s="70"/>
      <c r="Y23" s="70"/>
      <c r="Z23" s="70"/>
      <c r="AA23" s="70"/>
      <c r="AB23" s="70"/>
    </row>
    <row r="24" spans="1:28" ht="18" customHeight="1">
      <c r="A24" s="72">
        <f t="shared" si="0"/>
        <v>16</v>
      </c>
      <c r="B24" s="254" t="s">
        <v>191</v>
      </c>
      <c r="C24" s="203"/>
      <c r="D24" s="203"/>
      <c r="E24" s="203"/>
      <c r="F24" s="203"/>
      <c r="G24" s="203"/>
      <c r="H24" s="203"/>
      <c r="I24" s="203"/>
      <c r="J24" s="203"/>
      <c r="K24" s="199"/>
      <c r="L24" s="251"/>
      <c r="M24" s="203"/>
      <c r="N24" s="203"/>
      <c r="O24" s="199"/>
      <c r="P24" s="251"/>
      <c r="Q24" s="203"/>
      <c r="R24" s="203"/>
      <c r="S24" s="199"/>
      <c r="T24" s="251"/>
      <c r="U24" s="203"/>
      <c r="V24" s="203"/>
      <c r="W24" s="199"/>
      <c r="X24" s="70"/>
      <c r="Y24" s="70"/>
      <c r="Z24" s="70"/>
      <c r="AA24" s="70"/>
      <c r="AB24" s="70"/>
    </row>
    <row r="25" spans="1:28" ht="18" customHeight="1">
      <c r="A25" s="72">
        <f t="shared" si="0"/>
        <v>17</v>
      </c>
      <c r="B25" s="254" t="s">
        <v>192</v>
      </c>
      <c r="C25" s="203"/>
      <c r="D25" s="203"/>
      <c r="E25" s="203"/>
      <c r="F25" s="203"/>
      <c r="G25" s="203"/>
      <c r="H25" s="203"/>
      <c r="I25" s="203"/>
      <c r="J25" s="203"/>
      <c r="K25" s="199"/>
      <c r="L25" s="251"/>
      <c r="M25" s="203"/>
      <c r="N25" s="203"/>
      <c r="O25" s="199"/>
      <c r="P25" s="251"/>
      <c r="Q25" s="203"/>
      <c r="R25" s="203"/>
      <c r="S25" s="199"/>
      <c r="T25" s="251"/>
      <c r="U25" s="203"/>
      <c r="V25" s="203"/>
      <c r="W25" s="199"/>
      <c r="X25" s="70"/>
      <c r="Y25" s="70"/>
      <c r="Z25" s="70"/>
      <c r="AA25" s="70"/>
      <c r="AB25" s="70"/>
    </row>
    <row r="26" spans="1:28" ht="11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70"/>
      <c r="Z26" s="70"/>
      <c r="AA26" s="70"/>
      <c r="AB26" s="70"/>
    </row>
    <row r="27" spans="1:28" ht="14.25" customHeight="1">
      <c r="A27" s="217" t="s">
        <v>193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3"/>
      <c r="Y27" s="70"/>
      <c r="Z27" s="70"/>
      <c r="AA27" s="70"/>
      <c r="AB27" s="70"/>
    </row>
    <row r="28" spans="1:28" ht="14.25" customHeight="1">
      <c r="A28" s="16" t="s">
        <v>16</v>
      </c>
      <c r="B28" s="6"/>
      <c r="C28" s="3"/>
      <c r="D28" s="3"/>
      <c r="E28" s="3"/>
      <c r="F28" s="3"/>
      <c r="G28" s="222" t="str">
        <f>Return!G53</f>
        <v>Samiul Bashar</v>
      </c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3"/>
      <c r="Y28" s="70"/>
      <c r="Z28" s="70"/>
      <c r="AA28" s="70"/>
      <c r="AB28" s="70"/>
    </row>
    <row r="29" spans="1:28" ht="14.25" customHeight="1">
      <c r="A29" s="71"/>
      <c r="B29" s="54"/>
      <c r="C29" s="54"/>
      <c r="D29" s="54"/>
      <c r="E29" s="54"/>
      <c r="F29" s="54"/>
      <c r="G29" s="54"/>
      <c r="H29" s="54"/>
      <c r="I29" s="4" t="s">
        <v>53</v>
      </c>
      <c r="J29" s="4"/>
      <c r="K29" s="31">
        <v>1</v>
      </c>
      <c r="L29" s="31">
        <v>2</v>
      </c>
      <c r="M29" s="31">
        <v>3</v>
      </c>
      <c r="N29" s="32" t="s">
        <v>20</v>
      </c>
      <c r="O29" s="31">
        <v>4</v>
      </c>
      <c r="P29" s="31">
        <v>5</v>
      </c>
      <c r="Q29" s="31">
        <v>6</v>
      </c>
      <c r="R29" s="32" t="s">
        <v>20</v>
      </c>
      <c r="S29" s="31">
        <v>7</v>
      </c>
      <c r="T29" s="31">
        <v>8</v>
      </c>
      <c r="U29" s="31">
        <v>9</v>
      </c>
      <c r="V29" s="55">
        <v>0</v>
      </c>
      <c r="W29" s="70"/>
      <c r="X29" s="70"/>
      <c r="Y29" s="70"/>
      <c r="Z29" s="70"/>
      <c r="AA29" s="70"/>
      <c r="AB29" s="70"/>
    </row>
    <row r="30" spans="1:28" ht="18" customHeight="1">
      <c r="X30" s="70"/>
      <c r="Y30" s="70"/>
      <c r="Z30" s="70"/>
      <c r="AA30" s="70"/>
      <c r="AB30" s="70"/>
    </row>
    <row r="31" spans="1:28" ht="18" customHeight="1">
      <c r="A31" s="72" t="s">
        <v>171</v>
      </c>
      <c r="B31" s="252" t="s">
        <v>172</v>
      </c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199"/>
      <c r="P31" s="231" t="s">
        <v>173</v>
      </c>
      <c r="Q31" s="203"/>
      <c r="R31" s="203"/>
      <c r="S31" s="199"/>
      <c r="T31" s="231" t="s">
        <v>173</v>
      </c>
      <c r="U31" s="203"/>
      <c r="V31" s="203"/>
      <c r="W31" s="199"/>
      <c r="X31" s="70"/>
      <c r="Y31" s="70"/>
      <c r="Z31" s="70"/>
      <c r="AA31" s="70"/>
      <c r="AB31" s="70"/>
    </row>
    <row r="32" spans="1:28" ht="18" customHeight="1">
      <c r="A32" s="72">
        <v>1</v>
      </c>
      <c r="B32" s="252" t="s">
        <v>176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199"/>
      <c r="P32" s="255">
        <f>'Workings Income from Employment'!C2</f>
        <v>480000</v>
      </c>
      <c r="Q32" s="203"/>
      <c r="R32" s="203"/>
      <c r="S32" s="199"/>
      <c r="T32" s="255"/>
      <c r="U32" s="203"/>
      <c r="V32" s="203"/>
      <c r="W32" s="199"/>
      <c r="X32" s="70"/>
      <c r="Y32" s="70"/>
      <c r="Z32" s="70"/>
      <c r="AA32" s="70"/>
      <c r="AB32" s="70"/>
    </row>
    <row r="33" spans="1:28" ht="18" customHeight="1">
      <c r="A33" s="72">
        <f t="shared" ref="A33:A46" si="1">A32+1</f>
        <v>2</v>
      </c>
      <c r="B33" s="253" t="s">
        <v>194</v>
      </c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199"/>
      <c r="P33" s="255">
        <f>'Workings Income from Employment'!C4</f>
        <v>80000</v>
      </c>
      <c r="Q33" s="203"/>
      <c r="R33" s="203"/>
      <c r="S33" s="199"/>
      <c r="T33" s="255"/>
      <c r="U33" s="203"/>
      <c r="V33" s="203"/>
      <c r="W33" s="199"/>
      <c r="X33" s="70"/>
      <c r="Y33" s="70"/>
      <c r="Z33" s="70"/>
      <c r="AA33" s="70"/>
      <c r="AB33" s="70"/>
    </row>
    <row r="34" spans="1:28" ht="18" customHeight="1">
      <c r="A34" s="72">
        <f t="shared" si="1"/>
        <v>3</v>
      </c>
      <c r="B34" s="254" t="s">
        <v>195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199"/>
      <c r="P34" s="255">
        <v>0</v>
      </c>
      <c r="Q34" s="203"/>
      <c r="R34" s="203"/>
      <c r="S34" s="199"/>
      <c r="T34" s="255"/>
      <c r="U34" s="203"/>
      <c r="V34" s="203"/>
      <c r="W34" s="199"/>
      <c r="X34" s="70"/>
      <c r="Y34" s="70"/>
      <c r="Z34" s="70"/>
      <c r="AA34" s="70"/>
      <c r="AB34" s="70"/>
    </row>
    <row r="35" spans="1:28" ht="18" customHeight="1">
      <c r="A35" s="72">
        <f t="shared" si="1"/>
        <v>4</v>
      </c>
      <c r="B35" s="254" t="s">
        <v>196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199"/>
      <c r="P35" s="255">
        <f>'Workings Income from Employment'!B10</f>
        <v>25000000</v>
      </c>
      <c r="Q35" s="203"/>
      <c r="R35" s="203"/>
      <c r="S35" s="199"/>
      <c r="T35" s="255"/>
      <c r="U35" s="203"/>
      <c r="V35" s="203"/>
      <c r="W35" s="199"/>
      <c r="X35" s="70"/>
      <c r="Y35" s="70"/>
      <c r="Z35" s="70"/>
      <c r="AA35" s="70"/>
      <c r="AB35" s="70"/>
    </row>
    <row r="36" spans="1:28" ht="18" customHeight="1">
      <c r="A36" s="72">
        <f t="shared" si="1"/>
        <v>5</v>
      </c>
      <c r="B36" s="254" t="s">
        <v>197</v>
      </c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199"/>
      <c r="P36" s="255">
        <f>'Workings Income from Employment'!B19</f>
        <v>294000</v>
      </c>
      <c r="Q36" s="203"/>
      <c r="R36" s="203"/>
      <c r="S36" s="199"/>
      <c r="T36" s="255"/>
      <c r="U36" s="203"/>
      <c r="V36" s="203"/>
      <c r="W36" s="199"/>
      <c r="X36" s="70"/>
      <c r="Y36" s="70"/>
      <c r="Z36" s="70"/>
      <c r="AA36" s="70"/>
      <c r="AB36" s="70"/>
    </row>
    <row r="37" spans="1:28" ht="18" customHeight="1">
      <c r="A37" s="72">
        <f t="shared" si="1"/>
        <v>6</v>
      </c>
      <c r="B37" s="253" t="s">
        <v>198</v>
      </c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199"/>
      <c r="P37" s="255">
        <f>'Workings Income from Employment'!C6</f>
        <v>5000</v>
      </c>
      <c r="Q37" s="203"/>
      <c r="R37" s="203"/>
      <c r="S37" s="199"/>
      <c r="T37" s="255"/>
      <c r="U37" s="203"/>
      <c r="V37" s="203"/>
      <c r="W37" s="199"/>
      <c r="X37" s="70"/>
      <c r="Y37" s="70"/>
      <c r="Z37" s="70"/>
      <c r="AA37" s="70"/>
      <c r="AB37" s="70"/>
    </row>
    <row r="38" spans="1:28" ht="18" customHeight="1">
      <c r="A38" s="72">
        <f t="shared" si="1"/>
        <v>7</v>
      </c>
      <c r="B38" s="254" t="s">
        <v>199</v>
      </c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199"/>
      <c r="P38" s="255">
        <v>0</v>
      </c>
      <c r="Q38" s="203"/>
      <c r="R38" s="203"/>
      <c r="S38" s="199"/>
      <c r="T38" s="255"/>
      <c r="U38" s="203"/>
      <c r="V38" s="203"/>
      <c r="W38" s="199"/>
      <c r="X38" s="70"/>
      <c r="Y38" s="70"/>
      <c r="Z38" s="70"/>
      <c r="AA38" s="70"/>
      <c r="AB38" s="70"/>
    </row>
    <row r="39" spans="1:28" ht="18" customHeight="1">
      <c r="A39" s="72">
        <f t="shared" si="1"/>
        <v>8</v>
      </c>
      <c r="B39" s="254" t="s">
        <v>200</v>
      </c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199"/>
      <c r="P39" s="255">
        <v>0</v>
      </c>
      <c r="Q39" s="203"/>
      <c r="R39" s="203"/>
      <c r="S39" s="199"/>
      <c r="T39" s="255"/>
      <c r="U39" s="203"/>
      <c r="V39" s="203"/>
      <c r="W39" s="199"/>
      <c r="X39" s="70"/>
      <c r="Y39" s="70"/>
      <c r="Z39" s="70"/>
      <c r="AA39" s="70"/>
      <c r="AB39" s="70"/>
    </row>
    <row r="40" spans="1:28" ht="18" customHeight="1">
      <c r="A40" s="72">
        <f t="shared" si="1"/>
        <v>9</v>
      </c>
      <c r="B40" s="254" t="s">
        <v>201</v>
      </c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199"/>
      <c r="P40" s="255">
        <f>'Workings Income from Employment'!C5</f>
        <v>180000</v>
      </c>
      <c r="Q40" s="203"/>
      <c r="R40" s="203"/>
      <c r="S40" s="199"/>
      <c r="T40" s="255"/>
      <c r="U40" s="203"/>
      <c r="V40" s="203"/>
      <c r="W40" s="199"/>
      <c r="X40" s="70"/>
      <c r="Y40" s="70"/>
      <c r="Z40" s="70"/>
      <c r="AA40" s="70"/>
      <c r="AB40" s="70"/>
    </row>
    <row r="41" spans="1:28" ht="18" customHeight="1">
      <c r="A41" s="72">
        <f t="shared" si="1"/>
        <v>10</v>
      </c>
      <c r="B41" s="254" t="s">
        <v>202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199"/>
      <c r="P41" s="255">
        <v>0</v>
      </c>
      <c r="Q41" s="203"/>
      <c r="R41" s="203"/>
      <c r="S41" s="199"/>
      <c r="T41" s="255"/>
      <c r="U41" s="203"/>
      <c r="V41" s="203"/>
      <c r="W41" s="199"/>
      <c r="X41" s="70"/>
      <c r="Y41" s="70"/>
      <c r="Z41" s="70"/>
      <c r="AA41" s="70"/>
      <c r="AB41" s="70"/>
    </row>
    <row r="42" spans="1:28" ht="18" customHeight="1">
      <c r="A42" s="72">
        <f t="shared" si="1"/>
        <v>11</v>
      </c>
      <c r="B42" s="254" t="s">
        <v>203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199"/>
      <c r="P42" s="255">
        <f>'Workings Income from Employment'!C8</f>
        <v>48000</v>
      </c>
      <c r="Q42" s="203"/>
      <c r="R42" s="203"/>
      <c r="S42" s="199"/>
      <c r="T42" s="255"/>
      <c r="U42" s="203"/>
      <c r="V42" s="203"/>
      <c r="W42" s="199"/>
      <c r="X42" s="70"/>
      <c r="Y42" s="70"/>
      <c r="Z42" s="70"/>
      <c r="AA42" s="70"/>
      <c r="AB42" s="70"/>
    </row>
    <row r="43" spans="1:28" ht="18" customHeight="1">
      <c r="A43" s="72">
        <f t="shared" si="1"/>
        <v>12</v>
      </c>
      <c r="B43" s="254" t="s">
        <v>204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199"/>
      <c r="P43" s="258">
        <f>'Workings Income from Employment'!B32</f>
        <v>6600</v>
      </c>
      <c r="Q43" s="203"/>
      <c r="R43" s="203"/>
      <c r="S43" s="199"/>
      <c r="T43" s="255"/>
      <c r="U43" s="203"/>
      <c r="V43" s="203"/>
      <c r="W43" s="199"/>
      <c r="X43" s="70"/>
      <c r="Y43" s="70"/>
      <c r="Z43" s="70"/>
      <c r="AA43" s="70"/>
      <c r="AB43" s="70"/>
    </row>
    <row r="44" spans="1:28" ht="18" customHeight="1">
      <c r="A44" s="72">
        <f t="shared" si="1"/>
        <v>13</v>
      </c>
      <c r="B44" s="254" t="s">
        <v>205</v>
      </c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199"/>
      <c r="P44" s="255"/>
      <c r="Q44" s="203"/>
      <c r="R44" s="203"/>
      <c r="S44" s="199"/>
      <c r="T44" s="255">
        <f>SUM(P32:S43)</f>
        <v>26093600</v>
      </c>
      <c r="U44" s="203"/>
      <c r="V44" s="203"/>
      <c r="W44" s="199"/>
      <c r="X44" s="70"/>
      <c r="Y44" s="70"/>
      <c r="Z44" s="70"/>
      <c r="AA44" s="70"/>
      <c r="AB44" s="70"/>
    </row>
    <row r="45" spans="1:28" ht="14.25" customHeight="1">
      <c r="A45" s="72">
        <f t="shared" si="1"/>
        <v>14</v>
      </c>
      <c r="B45" s="254" t="s">
        <v>206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199"/>
      <c r="P45" s="255"/>
      <c r="Q45" s="203"/>
      <c r="R45" s="203"/>
      <c r="S45" s="199"/>
      <c r="T45" s="257">
        <f>'Workings Income from Employment'!B27</f>
        <v>25418133.333333332</v>
      </c>
      <c r="U45" s="203"/>
      <c r="V45" s="203"/>
      <c r="W45" s="199"/>
      <c r="X45" s="70"/>
      <c r="Y45" s="70"/>
      <c r="Z45" s="70"/>
      <c r="AA45" s="70"/>
      <c r="AB45" s="70"/>
    </row>
    <row r="46" spans="1:28" ht="14.25" customHeight="1">
      <c r="A46" s="72">
        <f t="shared" si="1"/>
        <v>15</v>
      </c>
      <c r="B46" s="254" t="s">
        <v>207</v>
      </c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199"/>
      <c r="P46" s="255"/>
      <c r="Q46" s="203"/>
      <c r="R46" s="203"/>
      <c r="S46" s="199"/>
      <c r="T46" s="256">
        <f>T44-T45</f>
        <v>675466.66666666791</v>
      </c>
      <c r="U46" s="203"/>
      <c r="V46" s="203"/>
      <c r="W46" s="199"/>
      <c r="X46" s="70"/>
      <c r="Y46" s="70"/>
      <c r="Z46" s="70"/>
      <c r="AA46" s="70"/>
      <c r="AB46" s="70"/>
    </row>
    <row r="47" spans="1:28" ht="14.2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1:28" ht="14.2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spans="1:28" ht="14.2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spans="1:28" ht="14.2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spans="1:28" ht="14.2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spans="1:28" ht="14.2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spans="1:28" ht="14.2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</row>
    <row r="54" spans="1:28" ht="14.2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</row>
    <row r="55" spans="1:28" ht="14.2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</row>
    <row r="56" spans="1:28" ht="14.2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</row>
    <row r="57" spans="1:28" ht="14.2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</row>
    <row r="58" spans="1:28" ht="14.2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</row>
    <row r="59" spans="1:28" ht="14.2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</row>
    <row r="60" spans="1:28" ht="14.2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</row>
    <row r="61" spans="1:28" ht="14.2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spans="1:28" ht="14.2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spans="1:28" ht="14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spans="1:28" ht="14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spans="1:28" ht="14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spans="1:28" ht="14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spans="1:28" ht="14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</row>
    <row r="68" spans="1:28" ht="14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spans="1:28" ht="14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spans="1:28" ht="14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spans="1:28" ht="14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 spans="1:28" ht="14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 spans="1:28" ht="14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  <row r="74" spans="1:28" ht="14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</row>
    <row r="75" spans="1:28" ht="14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</row>
    <row r="76" spans="1:28" ht="14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</row>
    <row r="77" spans="1:28" ht="14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</row>
    <row r="78" spans="1:28" ht="14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</row>
    <row r="79" spans="1:28" ht="14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</row>
    <row r="80" spans="1:28" ht="14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spans="1:28" ht="14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spans="1:28" ht="14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spans="1:28" ht="14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spans="1:28" ht="14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spans="1:28" ht="14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spans="1:28" ht="14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spans="1:28" ht="14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spans="1:28" ht="14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  <row r="89" spans="1:28" ht="14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</row>
    <row r="90" spans="1:28" ht="14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</row>
    <row r="91" spans="1:28" ht="14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</row>
    <row r="92" spans="1:28" ht="14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</row>
    <row r="93" spans="1:28" ht="14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</row>
    <row r="94" spans="1:28" ht="14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</row>
    <row r="95" spans="1:28" ht="14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</row>
    <row r="96" spans="1:28" ht="14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</row>
    <row r="97" spans="1:28" ht="14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</row>
    <row r="98" spans="1:28" ht="14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</row>
    <row r="99" spans="1:28" ht="14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</row>
    <row r="100" spans="1:28" ht="14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</row>
    <row r="101" spans="1:28" ht="14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</row>
    <row r="102" spans="1:28" ht="14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</row>
    <row r="103" spans="1:28" ht="14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</row>
    <row r="104" spans="1:28" ht="14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</row>
    <row r="105" spans="1:28" ht="14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</row>
    <row r="106" spans="1:28" ht="14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</row>
    <row r="107" spans="1:28" ht="14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</row>
    <row r="108" spans="1:28" ht="14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</row>
    <row r="109" spans="1:28" ht="14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</row>
    <row r="110" spans="1:28" ht="14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</row>
    <row r="111" spans="1:28" ht="14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</row>
    <row r="112" spans="1:28" ht="14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</row>
    <row r="113" spans="1:28" ht="14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</row>
    <row r="114" spans="1:28" ht="14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</row>
    <row r="115" spans="1:28" ht="14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</row>
    <row r="116" spans="1:28" ht="14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</row>
    <row r="117" spans="1:28" ht="14.2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</row>
    <row r="118" spans="1:28" ht="14.2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</row>
    <row r="119" spans="1:28" ht="14.2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</row>
    <row r="120" spans="1:28" ht="14.2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</row>
    <row r="121" spans="1:28" ht="14.2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</row>
    <row r="122" spans="1:28" ht="14.2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</row>
    <row r="123" spans="1:28" ht="14.2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</row>
    <row r="124" spans="1:28" ht="14.2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</row>
    <row r="125" spans="1:28" ht="14.2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</row>
    <row r="126" spans="1:28" ht="14.2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</row>
    <row r="127" spans="1:28" ht="14.2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</row>
    <row r="128" spans="1:28" ht="14.2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</row>
    <row r="129" spans="1:28" ht="14.2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spans="1:28" ht="14.2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</row>
    <row r="131" spans="1:28" ht="14.2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</row>
    <row r="132" spans="1:28" ht="14.2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</row>
    <row r="133" spans="1:28" ht="14.2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</row>
    <row r="134" spans="1:28" ht="14.2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</row>
    <row r="135" spans="1:28" ht="14.2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</row>
    <row r="136" spans="1:28" ht="14.2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</row>
    <row r="137" spans="1:28" ht="14.2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</row>
    <row r="138" spans="1:28" ht="14.2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</row>
    <row r="139" spans="1:28" ht="14.2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</row>
    <row r="140" spans="1:28" ht="14.2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</row>
    <row r="141" spans="1:28" ht="14.2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</row>
    <row r="142" spans="1:28" ht="14.2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</row>
    <row r="143" spans="1:28" ht="14.2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</row>
    <row r="144" spans="1:28" ht="14.2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</row>
    <row r="145" spans="1:28" ht="14.2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</row>
    <row r="146" spans="1:28" ht="14.2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</row>
    <row r="147" spans="1:28" ht="14.2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</row>
    <row r="148" spans="1:28" ht="14.2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</row>
    <row r="149" spans="1:28" ht="14.2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</row>
    <row r="150" spans="1:28" ht="14.2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</row>
    <row r="151" spans="1:28" ht="14.2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</row>
    <row r="152" spans="1:28" ht="14.2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</row>
    <row r="153" spans="1:28" ht="14.2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</row>
    <row r="154" spans="1:28" ht="14.2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</row>
    <row r="155" spans="1:28" ht="14.2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</row>
    <row r="156" spans="1:28" ht="14.2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</row>
    <row r="157" spans="1:28" ht="14.2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</row>
    <row r="158" spans="1:28" ht="14.2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</row>
    <row r="159" spans="1:28" ht="14.2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</row>
    <row r="160" spans="1:28" ht="14.2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</row>
    <row r="161" spans="1:28" ht="14.2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</row>
    <row r="162" spans="1:28" ht="14.2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</row>
    <row r="163" spans="1:28" ht="14.2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</row>
    <row r="164" spans="1:28" ht="14.2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</row>
    <row r="165" spans="1:28" ht="14.2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</row>
    <row r="166" spans="1:28" ht="14.2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</row>
    <row r="167" spans="1:28" ht="14.2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</row>
    <row r="168" spans="1:28" ht="14.2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</row>
    <row r="169" spans="1:28" ht="14.2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</row>
    <row r="170" spans="1:28" ht="14.2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</row>
    <row r="171" spans="1:28" ht="14.2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</row>
    <row r="172" spans="1:28" ht="14.2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</row>
    <row r="173" spans="1:28" ht="14.2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</row>
    <row r="174" spans="1:28" ht="14.2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</row>
    <row r="175" spans="1:28" ht="14.2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</row>
    <row r="176" spans="1:28" ht="14.2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</row>
    <row r="177" spans="1:28" ht="14.2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</row>
    <row r="178" spans="1:28" ht="14.2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</row>
    <row r="179" spans="1:28" ht="14.2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</row>
    <row r="180" spans="1:28" ht="14.2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</row>
    <row r="181" spans="1:28" ht="14.2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</row>
    <row r="182" spans="1:28" ht="14.2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</row>
    <row r="183" spans="1:28" ht="14.2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</row>
    <row r="184" spans="1:28" ht="14.2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</row>
    <row r="185" spans="1:28" ht="14.2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</row>
    <row r="186" spans="1:28" ht="14.2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</row>
    <row r="187" spans="1:28" ht="14.2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</row>
    <row r="188" spans="1:28" ht="14.2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</row>
    <row r="189" spans="1:28" ht="14.2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</row>
    <row r="190" spans="1:28" ht="14.2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</row>
    <row r="191" spans="1:28" ht="14.2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</row>
    <row r="192" spans="1:28" ht="14.2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</row>
    <row r="193" spans="1:28" ht="14.2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</row>
    <row r="194" spans="1:28" ht="14.2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</row>
    <row r="195" spans="1:28" ht="14.2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</row>
    <row r="196" spans="1:28" ht="14.2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</row>
    <row r="197" spans="1:28" ht="14.2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</row>
    <row r="198" spans="1:28" ht="14.2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</row>
    <row r="199" spans="1:28" ht="14.2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</row>
    <row r="200" spans="1:28" ht="14.2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</row>
    <row r="201" spans="1:28" ht="14.2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</row>
    <row r="202" spans="1:28" ht="14.2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</row>
    <row r="203" spans="1:28" ht="14.2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</row>
    <row r="204" spans="1:28" ht="14.2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</row>
    <row r="205" spans="1:28" ht="14.2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</row>
    <row r="206" spans="1:28" ht="14.2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</row>
    <row r="207" spans="1:28" ht="14.2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</row>
    <row r="208" spans="1:28" ht="14.2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</row>
    <row r="209" spans="1:28" ht="14.2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</row>
    <row r="210" spans="1:28" ht="14.2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</row>
    <row r="211" spans="1:28" ht="14.2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</row>
    <row r="212" spans="1:28" ht="14.2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</row>
    <row r="213" spans="1:28" ht="14.2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</row>
    <row r="214" spans="1:28" ht="14.2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</row>
    <row r="215" spans="1:28" ht="14.2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</row>
    <row r="216" spans="1:28" ht="14.2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</row>
    <row r="217" spans="1:28" ht="14.2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</row>
    <row r="218" spans="1:28" ht="14.2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</row>
    <row r="219" spans="1:28" ht="14.2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</row>
    <row r="220" spans="1:28" ht="14.2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</row>
    <row r="221" spans="1:28" ht="14.2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</row>
    <row r="222" spans="1:28" ht="14.2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</row>
    <row r="223" spans="1:28" ht="14.2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</row>
    <row r="224" spans="1:28" ht="14.2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</row>
    <row r="225" spans="1:28" ht="14.2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</row>
    <row r="226" spans="1:28" ht="14.2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</row>
    <row r="227" spans="1:28" ht="14.2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</row>
    <row r="228" spans="1:28" ht="14.2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</row>
    <row r="229" spans="1:28" ht="14.2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</row>
    <row r="230" spans="1:28" ht="14.2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</row>
    <row r="231" spans="1:28" ht="14.2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</row>
    <row r="232" spans="1:28" ht="14.2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</row>
    <row r="233" spans="1:28" ht="14.2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</row>
    <row r="234" spans="1:28" ht="14.2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</row>
    <row r="235" spans="1:28" ht="14.2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</row>
    <row r="236" spans="1:28" ht="14.2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</row>
    <row r="237" spans="1:28" ht="14.2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</row>
    <row r="238" spans="1:28" ht="14.2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</row>
    <row r="239" spans="1:28" ht="14.2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</row>
    <row r="240" spans="1:28" ht="14.2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</row>
    <row r="241" spans="1:28" ht="14.2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</row>
    <row r="242" spans="1:28" ht="14.2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</row>
    <row r="243" spans="1:28" ht="14.2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</row>
    <row r="244" spans="1:28" ht="14.2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</row>
    <row r="245" spans="1:28" ht="15.75" customHeight="1"/>
    <row r="246" spans="1:28" ht="15.75" customHeight="1"/>
    <row r="247" spans="1:28" ht="15.75" customHeight="1"/>
    <row r="248" spans="1:28" ht="15.75" customHeight="1"/>
    <row r="249" spans="1:28" ht="15.75" customHeight="1"/>
    <row r="250" spans="1:28" ht="15.75" customHeight="1"/>
    <row r="251" spans="1:28" ht="15.75" customHeight="1"/>
    <row r="252" spans="1:28" ht="15.75" customHeight="1"/>
    <row r="253" spans="1:28" ht="15.75" customHeight="1"/>
    <row r="254" spans="1:28" ht="15.75" customHeight="1"/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B46:O46"/>
    <mergeCell ref="P46:S46"/>
    <mergeCell ref="T46:W46"/>
    <mergeCell ref="T34:W34"/>
    <mergeCell ref="B35:O35"/>
    <mergeCell ref="P35:S35"/>
    <mergeCell ref="T35:W35"/>
    <mergeCell ref="B36:O36"/>
    <mergeCell ref="P39:S39"/>
    <mergeCell ref="T39:W39"/>
    <mergeCell ref="B37:O37"/>
    <mergeCell ref="P37:S37"/>
    <mergeCell ref="T37:W37"/>
    <mergeCell ref="B38:O38"/>
    <mergeCell ref="P38:S38"/>
    <mergeCell ref="T38:W38"/>
    <mergeCell ref="B39:O39"/>
    <mergeCell ref="P45:S45"/>
    <mergeCell ref="T45:W45"/>
    <mergeCell ref="B43:O43"/>
    <mergeCell ref="P43:S43"/>
    <mergeCell ref="T43:W43"/>
    <mergeCell ref="B44:O44"/>
    <mergeCell ref="P44:S44"/>
    <mergeCell ref="T44:W44"/>
    <mergeCell ref="B45:O45"/>
    <mergeCell ref="A27:W27"/>
    <mergeCell ref="G28:W28"/>
    <mergeCell ref="P42:S42"/>
    <mergeCell ref="T42:W42"/>
    <mergeCell ref="B40:O40"/>
    <mergeCell ref="P40:S40"/>
    <mergeCell ref="T40:W40"/>
    <mergeCell ref="B41:O41"/>
    <mergeCell ref="P41:S41"/>
    <mergeCell ref="T41:W41"/>
    <mergeCell ref="B42:O42"/>
    <mergeCell ref="P33:S33"/>
    <mergeCell ref="T33:W33"/>
    <mergeCell ref="B31:O31"/>
    <mergeCell ref="P31:S31"/>
    <mergeCell ref="T31:W31"/>
    <mergeCell ref="B32:O32"/>
    <mergeCell ref="P32:S32"/>
    <mergeCell ref="T32:W32"/>
    <mergeCell ref="B33:O33"/>
    <mergeCell ref="P36:S36"/>
    <mergeCell ref="T36:W36"/>
    <mergeCell ref="B34:O34"/>
    <mergeCell ref="P34:S34"/>
    <mergeCell ref="B23:K23"/>
    <mergeCell ref="L23:O23"/>
    <mergeCell ref="P23:S23"/>
    <mergeCell ref="T23:W23"/>
    <mergeCell ref="L24:O24"/>
    <mergeCell ref="P24:S24"/>
    <mergeCell ref="T24:W24"/>
    <mergeCell ref="B24:K24"/>
    <mergeCell ref="B25:K25"/>
    <mergeCell ref="L25:O25"/>
    <mergeCell ref="P25:S25"/>
    <mergeCell ref="T25:W25"/>
    <mergeCell ref="B19:K19"/>
    <mergeCell ref="L19:O19"/>
    <mergeCell ref="P19:S19"/>
    <mergeCell ref="T19:W19"/>
    <mergeCell ref="L20:O20"/>
    <mergeCell ref="P20:S20"/>
    <mergeCell ref="T20:W20"/>
    <mergeCell ref="P22:S22"/>
    <mergeCell ref="T22:W22"/>
    <mergeCell ref="B20:K20"/>
    <mergeCell ref="B21:K21"/>
    <mergeCell ref="L21:O21"/>
    <mergeCell ref="P21:S21"/>
    <mergeCell ref="T21:W21"/>
    <mergeCell ref="B22:K22"/>
    <mergeCell ref="L22:O22"/>
    <mergeCell ref="P18:S18"/>
    <mergeCell ref="T18:W18"/>
    <mergeCell ref="B15:K15"/>
    <mergeCell ref="L15:O15"/>
    <mergeCell ref="P15:S15"/>
    <mergeCell ref="T15:W15"/>
    <mergeCell ref="L16:O16"/>
    <mergeCell ref="P16:S16"/>
    <mergeCell ref="T16:W16"/>
    <mergeCell ref="B16:K16"/>
    <mergeCell ref="B17:K17"/>
    <mergeCell ref="L17:O17"/>
    <mergeCell ref="P17:S17"/>
    <mergeCell ref="T17:W17"/>
    <mergeCell ref="B18:K18"/>
    <mergeCell ref="L18:O18"/>
    <mergeCell ref="B11:K11"/>
    <mergeCell ref="L11:O11"/>
    <mergeCell ref="P11:S11"/>
    <mergeCell ref="T11:W11"/>
    <mergeCell ref="L12:O12"/>
    <mergeCell ref="P12:S12"/>
    <mergeCell ref="T12:W12"/>
    <mergeCell ref="P14:S14"/>
    <mergeCell ref="T14:W14"/>
    <mergeCell ref="B12:K12"/>
    <mergeCell ref="B13:K13"/>
    <mergeCell ref="L13:O13"/>
    <mergeCell ref="P13:S13"/>
    <mergeCell ref="T13:W13"/>
    <mergeCell ref="B14:K14"/>
    <mergeCell ref="L14:O14"/>
    <mergeCell ref="A1:W1"/>
    <mergeCell ref="A2:W2"/>
    <mergeCell ref="A3:W3"/>
    <mergeCell ref="G5:W5"/>
    <mergeCell ref="L8:O8"/>
    <mergeCell ref="P8:S8"/>
    <mergeCell ref="T8:W8"/>
    <mergeCell ref="P10:S10"/>
    <mergeCell ref="T10:W10"/>
    <mergeCell ref="B8:K8"/>
    <mergeCell ref="B9:K9"/>
    <mergeCell ref="L9:O9"/>
    <mergeCell ref="P9:S9"/>
    <mergeCell ref="T9:W9"/>
    <mergeCell ref="B10:K10"/>
    <mergeCell ref="L10:O10"/>
  </mergeCells>
  <conditionalFormatting sqref="G5 G28">
    <cfRule type="containsBlanks" dxfId="6" priority="1" stopIfTrue="1">
      <formula>LEN(TRIM(G5))=0</formula>
    </cfRule>
  </conditionalFormatting>
  <pageMargins left="0.7" right="0.7" top="0.5" bottom="0.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showGridLines="0" workbookViewId="0">
      <selection activeCell="E18" sqref="E18"/>
    </sheetView>
  </sheetViews>
  <sheetFormatPr defaultColWidth="14.42578125" defaultRowHeight="15" customHeight="1"/>
  <cols>
    <col min="1" max="1" width="45.140625" style="318" customWidth="1"/>
    <col min="2" max="6" width="14.42578125" style="318" customWidth="1"/>
    <col min="7" max="16384" width="14.42578125" style="318"/>
  </cols>
  <sheetData>
    <row r="1" spans="1:3">
      <c r="A1" s="379" t="s">
        <v>208</v>
      </c>
      <c r="B1" s="380" t="s">
        <v>110</v>
      </c>
      <c r="C1" s="380" t="s">
        <v>110</v>
      </c>
    </row>
    <row r="2" spans="1:3">
      <c r="A2" s="381" t="s">
        <v>209</v>
      </c>
      <c r="B2" s="382"/>
      <c r="C2" s="382">
        <f>40000*12</f>
        <v>480000</v>
      </c>
    </row>
    <row r="3" spans="1:3">
      <c r="A3" s="318" t="s">
        <v>197</v>
      </c>
      <c r="B3" s="358"/>
      <c r="C3" s="358">
        <f>B19</f>
        <v>294000</v>
      </c>
    </row>
    <row r="4" spans="1:3">
      <c r="A4" s="318" t="s">
        <v>210</v>
      </c>
      <c r="B4" s="358"/>
      <c r="C4" s="358">
        <f>40000*2</f>
        <v>80000</v>
      </c>
    </row>
    <row r="5" spans="1:3">
      <c r="A5" s="318" t="s">
        <v>211</v>
      </c>
      <c r="B5" s="358"/>
      <c r="C5" s="358">
        <f>15000*12</f>
        <v>180000</v>
      </c>
    </row>
    <row r="6" spans="1:3">
      <c r="A6" s="318" t="s">
        <v>212</v>
      </c>
      <c r="B6" s="358"/>
      <c r="C6" s="358">
        <v>5000</v>
      </c>
    </row>
    <row r="7" spans="1:3">
      <c r="A7" s="318" t="s">
        <v>213</v>
      </c>
      <c r="B7" s="358"/>
      <c r="C7" s="358">
        <v>3600</v>
      </c>
    </row>
    <row r="8" spans="1:3">
      <c r="A8" s="318" t="s">
        <v>214</v>
      </c>
      <c r="B8" s="358"/>
      <c r="C8" s="358">
        <f>C2*10%</f>
        <v>48000</v>
      </c>
    </row>
    <row r="9" spans="1:3">
      <c r="A9" s="318" t="s">
        <v>215</v>
      </c>
      <c r="B9" s="358"/>
      <c r="C9" s="358">
        <v>3000</v>
      </c>
    </row>
    <row r="10" spans="1:3">
      <c r="A10" s="318" t="s">
        <v>216</v>
      </c>
      <c r="B10" s="358">
        <v>25000000</v>
      </c>
      <c r="C10" s="358"/>
    </row>
    <row r="11" spans="1:3">
      <c r="A11" s="367" t="s">
        <v>217</v>
      </c>
      <c r="B11" s="362">
        <f>B10</f>
        <v>25000000</v>
      </c>
      <c r="C11" s="362">
        <f>B10-B11</f>
        <v>0</v>
      </c>
    </row>
    <row r="12" spans="1:3">
      <c r="A12" s="363" t="s">
        <v>218</v>
      </c>
      <c r="B12" s="383"/>
      <c r="C12" s="372">
        <f>SUM(C2:C9)</f>
        <v>1093600</v>
      </c>
    </row>
    <row r="14" spans="1:3">
      <c r="A14" s="384" t="s">
        <v>219</v>
      </c>
      <c r="B14" s="380" t="s">
        <v>110</v>
      </c>
    </row>
    <row r="15" spans="1:3">
      <c r="A15" s="318" t="s">
        <v>220</v>
      </c>
      <c r="B15" s="382">
        <f>480000*0.1</f>
        <v>48000</v>
      </c>
    </row>
    <row r="16" spans="1:3">
      <c r="A16" s="318" t="s">
        <v>179</v>
      </c>
      <c r="B16" s="358">
        <f>480000*0.4</f>
        <v>192000</v>
      </c>
    </row>
    <row r="17" spans="1:7">
      <c r="A17" s="318" t="s">
        <v>180</v>
      </c>
      <c r="B17" s="358">
        <f>4000*12</f>
        <v>48000</v>
      </c>
    </row>
    <row r="18" spans="1:7">
      <c r="A18" s="318" t="s">
        <v>221</v>
      </c>
      <c r="B18" s="364">
        <f>500*12</f>
        <v>6000</v>
      </c>
    </row>
    <row r="19" spans="1:7">
      <c r="A19" s="371" t="s">
        <v>222</v>
      </c>
      <c r="B19" s="368">
        <f>SUM(B15:B18)</f>
        <v>294000</v>
      </c>
    </row>
    <row r="20" spans="1:7">
      <c r="G20" s="193"/>
    </row>
    <row r="21" spans="1:7" ht="15.75" customHeight="1">
      <c r="A21" s="356" t="s">
        <v>223</v>
      </c>
      <c r="B21" s="380" t="s">
        <v>110</v>
      </c>
    </row>
    <row r="22" spans="1:7" ht="15.75" customHeight="1">
      <c r="A22" s="318" t="s">
        <v>224</v>
      </c>
      <c r="B22" s="382">
        <f>C12/3</f>
        <v>364533.33333333331</v>
      </c>
    </row>
    <row r="23" spans="1:7" ht="15.75" customHeight="1">
      <c r="A23" s="318" t="s">
        <v>450</v>
      </c>
      <c r="B23" s="358">
        <f>B22</f>
        <v>364533.33333333331</v>
      </c>
    </row>
    <row r="24" spans="1:7" ht="15.75" customHeight="1">
      <c r="A24" s="318" t="s">
        <v>190</v>
      </c>
      <c r="B24" s="358">
        <f>'Sch1'!P35</f>
        <v>25000000</v>
      </c>
    </row>
    <row r="25" spans="1:7" ht="15.75" customHeight="1">
      <c r="A25" s="318" t="s">
        <v>225</v>
      </c>
      <c r="B25" s="358">
        <f>3600</f>
        <v>3600</v>
      </c>
    </row>
    <row r="26" spans="1:7" ht="15.75" customHeight="1">
      <c r="A26" s="318" t="s">
        <v>226</v>
      </c>
      <c r="B26" s="364">
        <v>50000</v>
      </c>
    </row>
    <row r="27" spans="1:7" ht="15.75" customHeight="1">
      <c r="A27" s="371" t="s">
        <v>227</v>
      </c>
      <c r="B27" s="368">
        <f>SUM(B23:B26)</f>
        <v>25418133.333333332</v>
      </c>
    </row>
    <row r="28" spans="1:7" ht="15.75" customHeight="1"/>
    <row r="29" spans="1:7" ht="15.75" customHeight="1">
      <c r="A29" s="356" t="s">
        <v>228</v>
      </c>
      <c r="B29" s="380" t="s">
        <v>110</v>
      </c>
    </row>
    <row r="30" spans="1:7" ht="15.75" customHeight="1">
      <c r="A30" s="318" t="s">
        <v>229</v>
      </c>
      <c r="B30" s="382">
        <v>3000</v>
      </c>
    </row>
    <row r="31" spans="1:7" ht="15.75" customHeight="1">
      <c r="A31" s="318" t="s">
        <v>213</v>
      </c>
      <c r="B31" s="364">
        <v>3600</v>
      </c>
    </row>
    <row r="32" spans="1:7" ht="15.75" customHeight="1">
      <c r="A32" s="371" t="s">
        <v>230</v>
      </c>
      <c r="B32" s="368">
        <f>SUM(B30:B31)</f>
        <v>6600</v>
      </c>
    </row>
    <row r="33" spans="2:2" ht="15.75" customHeight="1"/>
    <row r="34" spans="2:2" ht="15.75" customHeight="1">
      <c r="B34" s="385"/>
    </row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s="318" customFormat="1" ht="15.75" customHeight="1"/>
    <row r="50" s="318" customFormat="1" ht="15.75" customHeight="1"/>
    <row r="51" s="318" customFormat="1" ht="15.75" customHeight="1"/>
    <row r="52" s="318" customFormat="1" ht="15.75" customHeight="1"/>
    <row r="53" s="318" customFormat="1" ht="15.75" customHeight="1"/>
    <row r="54" s="318" customFormat="1" ht="15.75" customHeight="1"/>
    <row r="55" s="318" customFormat="1" ht="15.75" customHeight="1"/>
    <row r="56" s="318" customFormat="1" ht="15.75" customHeight="1"/>
    <row r="57" s="318" customFormat="1" ht="15.75" customHeight="1"/>
    <row r="58" s="318" customFormat="1" ht="15.75" customHeight="1"/>
    <row r="59" s="318" customFormat="1" ht="15.75" customHeight="1"/>
    <row r="60" s="318" customFormat="1" ht="15.75" customHeight="1"/>
    <row r="61" s="318" customFormat="1" ht="15.75" customHeight="1"/>
    <row r="62" s="318" customFormat="1" ht="15.75" customHeight="1"/>
    <row r="63" s="318" customFormat="1" ht="15.75" customHeight="1"/>
    <row r="64" s="318" customFormat="1" ht="15.75" customHeight="1"/>
    <row r="65" s="318" customFormat="1" ht="15.75" customHeight="1"/>
    <row r="66" s="318" customFormat="1" ht="15.75" customHeight="1"/>
    <row r="67" s="318" customFormat="1" ht="15.75" customHeight="1"/>
    <row r="68" s="318" customFormat="1" ht="15.75" customHeight="1"/>
    <row r="69" s="318" customFormat="1" ht="15.75" customHeight="1"/>
    <row r="70" s="318" customFormat="1" ht="15.75" customHeight="1"/>
    <row r="71" s="318" customFormat="1" ht="15.75" customHeight="1"/>
    <row r="72" s="318" customFormat="1" ht="15.75" customHeight="1"/>
    <row r="73" s="318" customFormat="1" ht="15.75" customHeight="1"/>
    <row r="74" s="318" customFormat="1" ht="15.75" customHeight="1"/>
    <row r="75" s="318" customFormat="1" ht="15.75" customHeight="1"/>
    <row r="76" s="318" customFormat="1" ht="15.75" customHeight="1"/>
    <row r="77" s="318" customFormat="1" ht="15.75" customHeight="1"/>
    <row r="78" s="318" customFormat="1" ht="15.75" customHeight="1"/>
    <row r="79" s="318" customFormat="1" ht="15.75" customHeight="1"/>
    <row r="80" s="318" customFormat="1" ht="15.75" customHeight="1"/>
    <row r="81" s="318" customFormat="1" ht="15.75" customHeight="1"/>
    <row r="82" s="318" customFormat="1" ht="15.75" customHeight="1"/>
    <row r="83" s="318" customFormat="1" ht="15.75" customHeight="1"/>
    <row r="84" s="318" customFormat="1" ht="15.75" customHeight="1"/>
    <row r="85" s="318" customFormat="1" ht="15.75" customHeight="1"/>
    <row r="86" s="318" customFormat="1" ht="15.75" customHeight="1"/>
    <row r="87" s="318" customFormat="1" ht="15.75" customHeight="1"/>
    <row r="88" s="318" customFormat="1" ht="15.75" customHeight="1"/>
    <row r="89" s="318" customFormat="1" ht="15.75" customHeight="1"/>
    <row r="90" s="318" customFormat="1" ht="15.75" customHeight="1"/>
    <row r="91" s="318" customFormat="1" ht="15.75" customHeight="1"/>
    <row r="92" s="318" customFormat="1" ht="15.75" customHeight="1"/>
    <row r="93" s="318" customFormat="1" ht="15.75" customHeight="1"/>
    <row r="94" s="318" customFormat="1" ht="15.75" customHeight="1"/>
    <row r="95" s="318" customFormat="1" ht="15.75" customHeight="1"/>
    <row r="96" s="318" customFormat="1" ht="15.75" customHeight="1"/>
    <row r="97" s="318" customFormat="1" ht="15.75" customHeight="1"/>
    <row r="98" s="318" customFormat="1" ht="15.75" customHeight="1"/>
    <row r="99" s="318" customFormat="1" ht="15.75" customHeight="1"/>
    <row r="100" s="318" customFormat="1" ht="15.75" customHeight="1"/>
    <row r="101" s="318" customFormat="1" ht="15.75" customHeight="1"/>
    <row r="102" s="318" customFormat="1" ht="15.75" customHeight="1"/>
    <row r="103" s="318" customFormat="1" ht="15.75" customHeight="1"/>
    <row r="104" s="318" customFormat="1" ht="15.75" customHeight="1"/>
    <row r="105" s="318" customFormat="1" ht="15.75" customHeight="1"/>
    <row r="106" s="318" customFormat="1" ht="15.75" customHeight="1"/>
    <row r="107" s="318" customFormat="1" ht="15.75" customHeight="1"/>
    <row r="108" s="318" customFormat="1" ht="15.75" customHeight="1"/>
    <row r="109" s="318" customFormat="1" ht="15.75" customHeight="1"/>
    <row r="110" s="318" customFormat="1" ht="15.75" customHeight="1"/>
    <row r="111" s="318" customFormat="1" ht="15.75" customHeight="1"/>
    <row r="112" s="318" customFormat="1" ht="15.75" customHeight="1"/>
    <row r="113" s="318" customFormat="1" ht="15.75" customHeight="1"/>
    <row r="114" s="318" customFormat="1" ht="15.75" customHeight="1"/>
    <row r="115" s="318" customFormat="1" ht="15.75" customHeight="1"/>
    <row r="116" s="318" customFormat="1" ht="15.75" customHeight="1"/>
    <row r="117" s="318" customFormat="1" ht="15.75" customHeight="1"/>
    <row r="118" s="318" customFormat="1" ht="15.75" customHeight="1"/>
    <row r="119" s="318" customFormat="1" ht="15.75" customHeight="1"/>
    <row r="120" s="318" customFormat="1" ht="15.75" customHeight="1"/>
    <row r="121" s="318" customFormat="1" ht="15.75" customHeight="1"/>
    <row r="122" s="318" customFormat="1" ht="15.75" customHeight="1"/>
    <row r="123" s="318" customFormat="1" ht="15.75" customHeight="1"/>
    <row r="124" s="318" customFormat="1" ht="15.75" customHeight="1"/>
    <row r="125" s="318" customFormat="1" ht="15.75" customHeight="1"/>
    <row r="126" s="318" customFormat="1" ht="15.75" customHeight="1"/>
    <row r="127" s="318" customFormat="1" ht="15.75" customHeight="1"/>
    <row r="128" s="318" customFormat="1" ht="15.75" customHeight="1"/>
    <row r="129" s="318" customFormat="1" ht="15.75" customHeight="1"/>
    <row r="130" s="318" customFormat="1" ht="15.75" customHeight="1"/>
    <row r="131" s="318" customFormat="1" ht="15.75" customHeight="1"/>
    <row r="132" s="318" customFormat="1" ht="15.75" customHeight="1"/>
    <row r="133" s="318" customFormat="1" ht="15.75" customHeight="1"/>
    <row r="134" s="318" customFormat="1" ht="15.75" customHeight="1"/>
    <row r="135" s="318" customFormat="1" ht="15.75" customHeight="1"/>
    <row r="136" s="318" customFormat="1" ht="15.75" customHeight="1"/>
    <row r="137" s="318" customFormat="1" ht="15.75" customHeight="1"/>
    <row r="138" s="318" customFormat="1" ht="15.75" customHeight="1"/>
    <row r="139" s="318" customFormat="1" ht="15.75" customHeight="1"/>
    <row r="140" s="318" customFormat="1" ht="15.75" customHeight="1"/>
    <row r="141" s="318" customFormat="1" ht="15.75" customHeight="1"/>
    <row r="142" s="318" customFormat="1" ht="15.75" customHeight="1"/>
    <row r="143" s="318" customFormat="1" ht="15.75" customHeight="1"/>
    <row r="144" s="318" customFormat="1" ht="15.75" customHeight="1"/>
    <row r="145" s="318" customFormat="1" ht="15.75" customHeight="1"/>
    <row r="146" s="318" customFormat="1" ht="15.75" customHeight="1"/>
    <row r="147" s="318" customFormat="1" ht="15.75" customHeight="1"/>
    <row r="148" s="318" customFormat="1" ht="15.75" customHeight="1"/>
    <row r="149" s="318" customFormat="1" ht="15.75" customHeight="1"/>
    <row r="150" s="318" customFormat="1" ht="15.75" customHeight="1"/>
    <row r="151" s="318" customFormat="1" ht="15.75" customHeight="1"/>
    <row r="152" s="318" customFormat="1" ht="15.75" customHeight="1"/>
    <row r="153" s="318" customFormat="1" ht="15.75" customHeight="1"/>
    <row r="154" s="318" customFormat="1" ht="15.75" customHeight="1"/>
    <row r="155" s="318" customFormat="1" ht="15.75" customHeight="1"/>
    <row r="156" s="318" customFormat="1" ht="15.75" customHeight="1"/>
    <row r="157" s="318" customFormat="1" ht="15.75" customHeight="1"/>
    <row r="158" s="318" customFormat="1" ht="15.75" customHeight="1"/>
    <row r="159" s="318" customFormat="1" ht="15.75" customHeight="1"/>
    <row r="160" s="318" customFormat="1" ht="15.75" customHeight="1"/>
    <row r="161" s="318" customFormat="1" ht="15.75" customHeight="1"/>
    <row r="162" s="318" customFormat="1" ht="15.75" customHeight="1"/>
    <row r="163" s="318" customFormat="1" ht="15.75" customHeight="1"/>
    <row r="164" s="318" customFormat="1" ht="15.75" customHeight="1"/>
    <row r="165" s="318" customFormat="1" ht="15.75" customHeight="1"/>
    <row r="166" s="318" customFormat="1" ht="15.75" customHeight="1"/>
    <row r="167" s="318" customFormat="1" ht="15.75" customHeight="1"/>
    <row r="168" s="318" customFormat="1" ht="15.75" customHeight="1"/>
    <row r="169" s="318" customFormat="1" ht="15.75" customHeight="1"/>
    <row r="170" s="318" customFormat="1" ht="15.75" customHeight="1"/>
    <row r="171" s="318" customFormat="1" ht="15.75" customHeight="1"/>
    <row r="172" s="318" customFormat="1" ht="15.75" customHeight="1"/>
    <row r="173" s="318" customFormat="1" ht="15.75" customHeight="1"/>
    <row r="174" s="318" customFormat="1" ht="15.75" customHeight="1"/>
    <row r="175" s="318" customFormat="1" ht="15.75" customHeight="1"/>
    <row r="176" s="318" customFormat="1" ht="15.75" customHeight="1"/>
    <row r="177" s="318" customFormat="1" ht="15.75" customHeight="1"/>
    <row r="178" s="318" customFormat="1" ht="15.75" customHeight="1"/>
    <row r="179" s="318" customFormat="1" ht="15.75" customHeight="1"/>
    <row r="180" s="318" customFormat="1" ht="15.75" customHeight="1"/>
    <row r="181" s="318" customFormat="1" ht="15.75" customHeight="1"/>
    <row r="182" s="318" customFormat="1" ht="15.75" customHeight="1"/>
    <row r="183" s="318" customFormat="1" ht="15.75" customHeight="1"/>
    <row r="184" s="318" customFormat="1" ht="15.75" customHeight="1"/>
    <row r="185" s="318" customFormat="1" ht="15.75" customHeight="1"/>
    <row r="186" s="318" customFormat="1" ht="15.75" customHeight="1"/>
    <row r="187" s="318" customFormat="1" ht="15.75" customHeight="1"/>
    <row r="188" s="318" customFormat="1" ht="15.75" customHeight="1"/>
    <row r="189" s="318" customFormat="1" ht="15.75" customHeight="1"/>
    <row r="190" s="318" customFormat="1" ht="15.75" customHeight="1"/>
    <row r="191" s="318" customFormat="1" ht="15.75" customHeight="1"/>
    <row r="192" s="318" customFormat="1" ht="15.75" customHeight="1"/>
    <row r="193" s="318" customFormat="1" ht="15.75" customHeight="1"/>
    <row r="194" s="318" customFormat="1" ht="15.75" customHeight="1"/>
    <row r="195" s="318" customFormat="1" ht="15.75" customHeight="1"/>
    <row r="196" s="318" customFormat="1" ht="15.75" customHeight="1"/>
    <row r="197" s="318" customFormat="1" ht="15.75" customHeight="1"/>
    <row r="198" s="318" customFormat="1" ht="15.75" customHeight="1"/>
    <row r="199" s="318" customFormat="1" ht="15.75" customHeight="1"/>
    <row r="200" s="318" customFormat="1" ht="15.75" customHeight="1"/>
    <row r="201" s="318" customFormat="1" ht="15.75" customHeight="1"/>
    <row r="202" s="318" customFormat="1" ht="15.75" customHeight="1"/>
    <row r="203" s="318" customFormat="1" ht="15.75" customHeight="1"/>
    <row r="204" s="318" customFormat="1" ht="15.75" customHeight="1"/>
    <row r="205" s="318" customFormat="1" ht="15.75" customHeight="1"/>
    <row r="206" s="318" customFormat="1" ht="15.75" customHeight="1"/>
    <row r="207" s="318" customFormat="1" ht="15.75" customHeight="1"/>
    <row r="208" s="318" customFormat="1" ht="15.75" customHeight="1"/>
    <row r="209" s="318" customFormat="1" ht="15.75" customHeight="1"/>
    <row r="210" s="318" customFormat="1" ht="15.75" customHeight="1"/>
    <row r="211" s="318" customFormat="1" ht="15.75" customHeight="1"/>
    <row r="212" s="318" customFormat="1" ht="15.75" customHeight="1"/>
    <row r="213" s="318" customFormat="1" ht="15.75" customHeight="1"/>
    <row r="214" s="318" customFormat="1" ht="15.75" customHeight="1"/>
    <row r="215" s="318" customFormat="1" ht="15.75" customHeight="1"/>
    <row r="216" s="318" customFormat="1" ht="15.75" customHeight="1"/>
    <row r="217" s="318" customFormat="1" ht="15.75" customHeight="1"/>
    <row r="218" s="318" customFormat="1" ht="15.75" customHeight="1"/>
    <row r="219" s="318" customFormat="1" ht="15.75" customHeight="1"/>
    <row r="220" s="318" customFormat="1" ht="15.75" customHeight="1"/>
    <row r="221" s="318" customFormat="1" ht="15.75" customHeight="1"/>
    <row r="222" s="318" customFormat="1" ht="15.75" customHeight="1"/>
    <row r="223" s="318" customFormat="1" ht="15.75" customHeight="1"/>
    <row r="224" s="318" customFormat="1" ht="15.75" customHeight="1"/>
    <row r="225" s="318" customFormat="1" ht="15.75" customHeight="1"/>
    <row r="226" s="318" customFormat="1" ht="15.75" customHeight="1"/>
    <row r="227" s="318" customFormat="1" ht="15.75" customHeight="1"/>
    <row r="228" s="318" customFormat="1" ht="15.75" customHeight="1"/>
    <row r="229" s="318" customFormat="1" ht="15.75" customHeight="1"/>
    <row r="230" s="318" customFormat="1" ht="15.75" customHeight="1"/>
    <row r="231" s="318" customFormat="1" ht="15.75" customHeight="1"/>
    <row r="232" s="318" customFormat="1" ht="15.75" customHeight="1"/>
    <row r="233" s="318" customFormat="1" ht="15.75" customHeight="1"/>
    <row r="234" s="318" customFormat="1" ht="15.75" customHeight="1"/>
    <row r="235" s="318" customFormat="1" ht="15.75" customHeight="1"/>
    <row r="236" s="318" customFormat="1" ht="15.75" customHeight="1"/>
    <row r="237" s="318" customFormat="1" ht="15.75" customHeight="1"/>
    <row r="238" s="318" customFormat="1" ht="15.75" customHeight="1"/>
    <row r="239" s="318" customFormat="1" ht="15.75" customHeight="1"/>
    <row r="240" s="318" customFormat="1" ht="15.75" customHeight="1"/>
    <row r="241" s="318" customFormat="1" ht="15.75" customHeight="1"/>
    <row r="242" s="318" customFormat="1" ht="15.75" customHeight="1"/>
    <row r="243" s="318" customFormat="1" ht="15.75" customHeight="1"/>
    <row r="244" s="318" customFormat="1" ht="15.75" customHeight="1"/>
    <row r="245" s="318" customFormat="1" ht="15.75" customHeight="1"/>
    <row r="246" s="318" customFormat="1" ht="15.75" customHeight="1"/>
    <row r="247" s="318" customFormat="1" ht="15.75" customHeight="1"/>
    <row r="248" s="318" customFormat="1" ht="15.75" customHeight="1"/>
    <row r="249" s="318" customFormat="1" ht="15.75" customHeight="1"/>
    <row r="250" s="318" customFormat="1" ht="15.75" customHeight="1"/>
    <row r="251" s="318" customFormat="1" ht="15.75" customHeight="1"/>
    <row r="252" s="318" customFormat="1" ht="15.75" customHeight="1"/>
    <row r="253" s="318" customFormat="1" ht="15.75" customHeight="1"/>
    <row r="254" s="318" customFormat="1" ht="15.75" customHeight="1"/>
    <row r="255" s="318" customFormat="1" ht="15.75" customHeight="1"/>
    <row r="256" s="318" customFormat="1" ht="15.75" customHeight="1"/>
    <row r="257" s="318" customFormat="1" ht="15.75" customHeight="1"/>
    <row r="258" s="318" customFormat="1" ht="15.75" customHeight="1"/>
    <row r="259" s="318" customFormat="1" ht="15.75" customHeight="1"/>
    <row r="260" s="318" customFormat="1" ht="15.75" customHeight="1"/>
    <row r="261" s="318" customFormat="1" ht="15.75" customHeight="1"/>
    <row r="262" s="318" customFormat="1" ht="15.75" customHeight="1"/>
    <row r="263" s="318" customFormat="1" ht="15.75" customHeight="1"/>
    <row r="264" s="318" customFormat="1" ht="15.75" customHeight="1"/>
    <row r="265" s="318" customFormat="1" ht="15.75" customHeight="1"/>
    <row r="266" s="318" customFormat="1" ht="15.75" customHeight="1"/>
    <row r="267" s="318" customFormat="1" ht="15.75" customHeight="1"/>
    <row r="268" s="318" customFormat="1" ht="15.75" customHeight="1"/>
    <row r="269" s="318" customFormat="1" ht="15.75" customHeight="1"/>
    <row r="270" s="318" customFormat="1" ht="15.75" customHeight="1"/>
    <row r="271" s="318" customFormat="1" ht="15.75" customHeight="1"/>
    <row r="272" s="318" customFormat="1" ht="15.75" customHeight="1"/>
    <row r="273" s="318" customFormat="1" ht="15.75" customHeight="1"/>
    <row r="274" s="318" customFormat="1" ht="15.75" customHeight="1"/>
    <row r="275" s="318" customFormat="1" ht="15.75" customHeight="1"/>
    <row r="276" s="318" customFormat="1" ht="15.75" customHeight="1"/>
    <row r="277" s="318" customFormat="1" ht="15.75" customHeight="1"/>
    <row r="278" s="318" customFormat="1" ht="15.75" customHeight="1"/>
    <row r="279" s="318" customFormat="1" ht="15.75" customHeight="1"/>
    <row r="280" s="318" customFormat="1" ht="15.75" customHeight="1"/>
    <row r="281" s="318" customFormat="1" ht="15.75" customHeight="1"/>
    <row r="282" s="318" customFormat="1" ht="15.75" customHeight="1"/>
    <row r="283" s="318" customFormat="1" ht="15.75" customHeight="1"/>
    <row r="284" s="318" customFormat="1" ht="15.75" customHeight="1"/>
    <row r="285" s="318" customFormat="1" ht="15.75" customHeight="1"/>
    <row r="286" s="318" customFormat="1" ht="15.75" customHeight="1"/>
    <row r="287" s="318" customFormat="1" ht="15.75" customHeight="1"/>
    <row r="288" s="318" customFormat="1" ht="15.75" customHeight="1"/>
    <row r="289" s="318" customFormat="1" ht="15.75" customHeight="1"/>
    <row r="290" s="318" customFormat="1" ht="15.75" customHeight="1"/>
    <row r="291" s="318" customFormat="1" ht="15.75" customHeight="1"/>
    <row r="292" s="318" customFormat="1" ht="15.75" customHeight="1"/>
    <row r="293" s="318" customFormat="1" ht="15.75" customHeight="1"/>
    <row r="294" s="318" customFormat="1" ht="15.75" customHeight="1"/>
    <row r="295" s="318" customFormat="1" ht="15.75" customHeight="1"/>
    <row r="296" s="318" customFormat="1" ht="15.75" customHeight="1"/>
    <row r="297" s="318" customFormat="1" ht="15.75" customHeight="1"/>
    <row r="298" s="318" customFormat="1" ht="15.75" customHeight="1"/>
    <row r="299" s="318" customFormat="1" ht="15.75" customHeight="1"/>
    <row r="300" s="318" customFormat="1" ht="15.75" customHeight="1"/>
    <row r="301" s="318" customFormat="1" ht="15.75" customHeight="1"/>
    <row r="302" s="318" customFormat="1" ht="15.75" customHeight="1"/>
    <row r="303" s="318" customFormat="1" ht="15.75" customHeight="1"/>
    <row r="304" s="318" customFormat="1" ht="15.75" customHeight="1"/>
    <row r="305" s="318" customFormat="1" ht="15.75" customHeight="1"/>
    <row r="306" s="318" customFormat="1" ht="15.75" customHeight="1"/>
    <row r="307" s="318" customFormat="1" ht="15.75" customHeight="1"/>
    <row r="308" s="318" customFormat="1" ht="15.75" customHeight="1"/>
    <row r="309" s="318" customFormat="1" ht="15.75" customHeight="1"/>
    <row r="310" s="318" customFormat="1" ht="15.75" customHeight="1"/>
    <row r="311" s="318" customFormat="1" ht="15.75" customHeight="1"/>
    <row r="312" s="318" customFormat="1" ht="15.75" customHeight="1"/>
    <row r="313" s="318" customFormat="1" ht="15.75" customHeight="1"/>
    <row r="314" s="318" customFormat="1" ht="15.75" customHeight="1"/>
    <row r="315" s="318" customFormat="1" ht="15.75" customHeight="1"/>
    <row r="316" s="318" customFormat="1" ht="15.75" customHeight="1"/>
    <row r="317" s="318" customFormat="1" ht="15.75" customHeight="1"/>
    <row r="318" s="318" customFormat="1" ht="15.75" customHeight="1"/>
    <row r="319" s="318" customFormat="1" ht="15.75" customHeight="1"/>
    <row r="320" s="318" customFormat="1" ht="15.75" customHeight="1"/>
    <row r="321" s="318" customFormat="1" ht="15.75" customHeight="1"/>
    <row r="322" s="318" customFormat="1" ht="15.75" customHeight="1"/>
    <row r="323" s="318" customFormat="1" ht="15.75" customHeight="1"/>
    <row r="324" s="318" customFormat="1" ht="15.75" customHeight="1"/>
    <row r="325" s="318" customFormat="1" ht="15.75" customHeight="1"/>
    <row r="326" s="318" customFormat="1" ht="15.75" customHeight="1"/>
    <row r="327" s="318" customFormat="1" ht="15.75" customHeight="1"/>
    <row r="328" s="318" customFormat="1" ht="15.75" customHeight="1"/>
    <row r="329" s="318" customFormat="1" ht="15.75" customHeight="1"/>
    <row r="330" s="318" customFormat="1" ht="15.75" customHeight="1"/>
    <row r="331" s="318" customFormat="1" ht="15.75" customHeight="1"/>
    <row r="332" s="318" customFormat="1" ht="15.75" customHeight="1"/>
    <row r="333" s="318" customFormat="1" ht="15.75" customHeight="1"/>
    <row r="334" s="318" customFormat="1" ht="15.75" customHeight="1"/>
    <row r="335" s="318" customFormat="1" ht="15.75" customHeight="1"/>
    <row r="336" s="318" customFormat="1" ht="15.75" customHeight="1"/>
    <row r="337" s="318" customFormat="1" ht="15.75" customHeight="1"/>
    <row r="338" s="318" customFormat="1" ht="15.75" customHeight="1"/>
    <row r="339" s="318" customFormat="1" ht="15.75" customHeight="1"/>
    <row r="340" s="318" customFormat="1" ht="15.75" customHeight="1"/>
    <row r="341" s="318" customFormat="1" ht="15.75" customHeight="1"/>
    <row r="342" s="318" customFormat="1" ht="15.75" customHeight="1"/>
    <row r="343" s="318" customFormat="1" ht="15.75" customHeight="1"/>
    <row r="344" s="318" customFormat="1" ht="15.75" customHeight="1"/>
    <row r="345" s="318" customFormat="1" ht="15.75" customHeight="1"/>
    <row r="346" s="318" customFormat="1" ht="15.75" customHeight="1"/>
    <row r="347" s="318" customFormat="1" ht="15.75" customHeight="1"/>
    <row r="348" s="318" customFormat="1" ht="15.75" customHeight="1"/>
    <row r="349" s="318" customFormat="1" ht="15.75" customHeight="1"/>
    <row r="350" s="318" customFormat="1" ht="15.75" customHeight="1"/>
    <row r="351" s="318" customFormat="1" ht="15.75" customHeight="1"/>
    <row r="352" s="318" customFormat="1" ht="15.75" customHeight="1"/>
    <row r="353" s="318" customFormat="1" ht="15.75" customHeight="1"/>
    <row r="354" s="318" customFormat="1" ht="15.75" customHeight="1"/>
    <row r="355" s="318" customFormat="1" ht="15.75" customHeight="1"/>
    <row r="356" s="318" customFormat="1" ht="15.75" customHeight="1"/>
    <row r="357" s="318" customFormat="1" ht="15.75" customHeight="1"/>
    <row r="358" s="318" customFormat="1" ht="15.75" customHeight="1"/>
    <row r="359" s="318" customFormat="1" ht="15.75" customHeight="1"/>
    <row r="360" s="318" customFormat="1" ht="15.75" customHeight="1"/>
    <row r="361" s="318" customFormat="1" ht="15.75" customHeight="1"/>
    <row r="362" s="318" customFormat="1" ht="15.75" customHeight="1"/>
    <row r="363" s="318" customFormat="1" ht="15.75" customHeight="1"/>
    <row r="364" s="318" customFormat="1" ht="15.75" customHeight="1"/>
    <row r="365" s="318" customFormat="1" ht="15.75" customHeight="1"/>
    <row r="366" s="318" customFormat="1" ht="15.75" customHeight="1"/>
    <row r="367" s="318" customFormat="1" ht="15.75" customHeight="1"/>
    <row r="368" s="318" customFormat="1" ht="15.75" customHeight="1"/>
    <row r="369" s="318" customFormat="1" ht="15.75" customHeight="1"/>
    <row r="370" s="318" customFormat="1" ht="15.75" customHeight="1"/>
    <row r="371" s="318" customFormat="1" ht="15.75" customHeight="1"/>
    <row r="372" s="318" customFormat="1" ht="15.75" customHeight="1"/>
    <row r="373" s="318" customFormat="1" ht="15.75" customHeight="1"/>
    <row r="374" s="318" customFormat="1" ht="15.75" customHeight="1"/>
    <row r="375" s="318" customFormat="1" ht="15.75" customHeight="1"/>
    <row r="376" s="318" customFormat="1" ht="15.75" customHeight="1"/>
    <row r="377" s="318" customFormat="1" ht="15.75" customHeight="1"/>
    <row r="378" s="318" customFormat="1" ht="15.75" customHeight="1"/>
    <row r="379" s="318" customFormat="1" ht="15.75" customHeight="1"/>
    <row r="380" s="318" customFormat="1" ht="15.75" customHeight="1"/>
    <row r="381" s="318" customFormat="1" ht="15.75" customHeight="1"/>
    <row r="382" s="318" customFormat="1" ht="15.75" customHeight="1"/>
    <row r="383" s="318" customFormat="1" ht="15.75" customHeight="1"/>
    <row r="384" s="318" customFormat="1" ht="15.75" customHeight="1"/>
    <row r="385" s="318" customFormat="1" ht="15.75" customHeight="1"/>
    <row r="386" s="318" customFormat="1" ht="15.75" customHeight="1"/>
    <row r="387" s="318" customFormat="1" ht="15.75" customHeight="1"/>
    <row r="388" s="318" customFormat="1" ht="15.75" customHeight="1"/>
    <row r="389" s="318" customFormat="1" ht="15.75" customHeight="1"/>
    <row r="390" s="318" customFormat="1" ht="15.75" customHeight="1"/>
    <row r="391" s="318" customFormat="1" ht="15.75" customHeight="1"/>
    <row r="392" s="318" customFormat="1" ht="15.75" customHeight="1"/>
    <row r="393" s="318" customFormat="1" ht="15.75" customHeight="1"/>
    <row r="394" s="318" customFormat="1" ht="15.75" customHeight="1"/>
    <row r="395" s="318" customFormat="1" ht="15.75" customHeight="1"/>
    <row r="396" s="318" customFormat="1" ht="15.75" customHeight="1"/>
    <row r="397" s="318" customFormat="1" ht="15.75" customHeight="1"/>
    <row r="398" s="318" customFormat="1" ht="15.75" customHeight="1"/>
    <row r="399" s="318" customFormat="1" ht="15.75" customHeight="1"/>
    <row r="400" s="318" customFormat="1" ht="15.75" customHeight="1"/>
    <row r="401" s="318" customFormat="1" ht="15.75" customHeight="1"/>
    <row r="402" s="318" customFormat="1" ht="15.75" customHeight="1"/>
    <row r="403" s="318" customFormat="1" ht="15.75" customHeight="1"/>
    <row r="404" s="318" customFormat="1" ht="15.75" customHeight="1"/>
    <row r="405" s="318" customFormat="1" ht="15.75" customHeight="1"/>
    <row r="406" s="318" customFormat="1" ht="15.75" customHeight="1"/>
    <row r="407" s="318" customFormat="1" ht="15.75" customHeight="1"/>
    <row r="408" s="318" customFormat="1" ht="15.75" customHeight="1"/>
    <row r="409" s="318" customFormat="1" ht="15.75" customHeight="1"/>
    <row r="410" s="318" customFormat="1" ht="15.75" customHeight="1"/>
    <row r="411" s="318" customFormat="1" ht="15.75" customHeight="1"/>
    <row r="412" s="318" customFormat="1" ht="15.75" customHeight="1"/>
    <row r="413" s="318" customFormat="1" ht="15.75" customHeight="1"/>
    <row r="414" s="318" customFormat="1" ht="15.75" customHeight="1"/>
    <row r="415" s="318" customFormat="1" ht="15.75" customHeight="1"/>
    <row r="416" s="318" customFormat="1" ht="15.75" customHeight="1"/>
    <row r="417" s="318" customFormat="1" ht="15.75" customHeight="1"/>
    <row r="418" s="318" customFormat="1" ht="15.75" customHeight="1"/>
    <row r="419" s="318" customFormat="1" ht="15.75" customHeight="1"/>
    <row r="420" s="318" customFormat="1" ht="15.75" customHeight="1"/>
    <row r="421" s="318" customFormat="1" ht="15.75" customHeight="1"/>
    <row r="422" s="318" customFormat="1" ht="15.75" customHeight="1"/>
    <row r="423" s="318" customFormat="1" ht="15.75" customHeight="1"/>
    <row r="424" s="318" customFormat="1" ht="15.75" customHeight="1"/>
    <row r="425" s="318" customFormat="1" ht="15.75" customHeight="1"/>
    <row r="426" s="318" customFormat="1" ht="15.75" customHeight="1"/>
    <row r="427" s="318" customFormat="1" ht="15.75" customHeight="1"/>
    <row r="428" s="318" customFormat="1" ht="15.75" customHeight="1"/>
    <row r="429" s="318" customFormat="1" ht="15.75" customHeight="1"/>
    <row r="430" s="318" customFormat="1" ht="15.75" customHeight="1"/>
    <row r="431" s="318" customFormat="1" ht="15.75" customHeight="1"/>
    <row r="432" s="318" customFormat="1" ht="15.75" customHeight="1"/>
    <row r="433" s="318" customFormat="1" ht="15.75" customHeight="1"/>
    <row r="434" s="318" customFormat="1" ht="15.75" customHeight="1"/>
    <row r="435" s="318" customFormat="1" ht="15.75" customHeight="1"/>
    <row r="436" s="318" customFormat="1" ht="15.75" customHeight="1"/>
    <row r="437" s="318" customFormat="1" ht="15.75" customHeight="1"/>
    <row r="438" s="318" customFormat="1" ht="15.75" customHeight="1"/>
    <row r="439" s="318" customFormat="1" ht="15.75" customHeight="1"/>
    <row r="440" s="318" customFormat="1" ht="15.75" customHeight="1"/>
    <row r="441" s="318" customFormat="1" ht="15.75" customHeight="1"/>
    <row r="442" s="318" customFormat="1" ht="15.75" customHeight="1"/>
    <row r="443" s="318" customFormat="1" ht="15.75" customHeight="1"/>
    <row r="444" s="318" customFormat="1" ht="15.75" customHeight="1"/>
    <row r="445" s="318" customFormat="1" ht="15.75" customHeight="1"/>
    <row r="446" s="318" customFormat="1" ht="15.75" customHeight="1"/>
    <row r="447" s="318" customFormat="1" ht="15.75" customHeight="1"/>
    <row r="448" s="318" customFormat="1" ht="15.75" customHeight="1"/>
    <row r="449" s="318" customFormat="1" ht="15.75" customHeight="1"/>
    <row r="450" s="318" customFormat="1" ht="15.75" customHeight="1"/>
    <row r="451" s="318" customFormat="1" ht="15.75" customHeight="1"/>
    <row r="452" s="318" customFormat="1" ht="15.75" customHeight="1"/>
    <row r="453" s="318" customFormat="1" ht="15.75" customHeight="1"/>
    <row r="454" s="318" customFormat="1" ht="15.75" customHeight="1"/>
    <row r="455" s="318" customFormat="1" ht="15.75" customHeight="1"/>
    <row r="456" s="318" customFormat="1" ht="15.75" customHeight="1"/>
    <row r="457" s="318" customFormat="1" ht="15.75" customHeight="1"/>
    <row r="458" s="318" customFormat="1" ht="15.75" customHeight="1"/>
    <row r="459" s="318" customFormat="1" ht="15.75" customHeight="1"/>
    <row r="460" s="318" customFormat="1" ht="15.75" customHeight="1"/>
    <row r="461" s="318" customFormat="1" ht="15.75" customHeight="1"/>
    <row r="462" s="318" customFormat="1" ht="15.75" customHeight="1"/>
    <row r="463" s="318" customFormat="1" ht="15.75" customHeight="1"/>
    <row r="464" s="318" customFormat="1" ht="15.75" customHeight="1"/>
    <row r="465" s="318" customFormat="1" ht="15.75" customHeight="1"/>
    <row r="466" s="318" customFormat="1" ht="15.75" customHeight="1"/>
    <row r="467" s="318" customFormat="1" ht="15.75" customHeight="1"/>
    <row r="468" s="318" customFormat="1" ht="15.75" customHeight="1"/>
    <row r="469" s="318" customFormat="1" ht="15.75" customHeight="1"/>
    <row r="470" s="318" customFormat="1" ht="15.75" customHeight="1"/>
    <row r="471" s="318" customFormat="1" ht="15.75" customHeight="1"/>
    <row r="472" s="318" customFormat="1" ht="15.75" customHeight="1"/>
    <row r="473" s="318" customFormat="1" ht="15.75" customHeight="1"/>
    <row r="474" s="318" customFormat="1" ht="15.75" customHeight="1"/>
    <row r="475" s="318" customFormat="1" ht="15.75" customHeight="1"/>
    <row r="476" s="318" customFormat="1" ht="15.75" customHeight="1"/>
    <row r="477" s="318" customFormat="1" ht="15.75" customHeight="1"/>
    <row r="478" s="318" customFormat="1" ht="15.75" customHeight="1"/>
    <row r="479" s="318" customFormat="1" ht="15.75" customHeight="1"/>
    <row r="480" s="318" customFormat="1" ht="15.75" customHeight="1"/>
    <row r="481" s="318" customFormat="1" ht="15.75" customHeight="1"/>
    <row r="482" s="318" customFormat="1" ht="15.75" customHeight="1"/>
    <row r="483" s="318" customFormat="1" ht="15.75" customHeight="1"/>
    <row r="484" s="318" customFormat="1" ht="15.75" customHeight="1"/>
    <row r="485" s="318" customFormat="1" ht="15.75" customHeight="1"/>
    <row r="486" s="318" customFormat="1" ht="15.75" customHeight="1"/>
    <row r="487" s="318" customFormat="1" ht="15.75" customHeight="1"/>
    <row r="488" s="318" customFormat="1" ht="15.75" customHeight="1"/>
    <row r="489" s="318" customFormat="1" ht="15.75" customHeight="1"/>
    <row r="490" s="318" customFormat="1" ht="15.75" customHeight="1"/>
    <row r="491" s="318" customFormat="1" ht="15.75" customHeight="1"/>
    <row r="492" s="318" customFormat="1" ht="15.75" customHeight="1"/>
    <row r="493" s="318" customFormat="1" ht="15.75" customHeight="1"/>
    <row r="494" s="318" customFormat="1" ht="15.75" customHeight="1"/>
    <row r="495" s="318" customFormat="1" ht="15.75" customHeight="1"/>
    <row r="496" s="318" customFormat="1" ht="15.75" customHeight="1"/>
    <row r="497" s="318" customFormat="1" ht="15.75" customHeight="1"/>
    <row r="498" s="318" customFormat="1" ht="15.75" customHeight="1"/>
    <row r="499" s="318" customFormat="1" ht="15.75" customHeight="1"/>
    <row r="500" s="318" customFormat="1" ht="15.75" customHeight="1"/>
    <row r="501" s="318" customFormat="1" ht="15.75" customHeight="1"/>
    <row r="502" s="318" customFormat="1" ht="15.75" customHeight="1"/>
    <row r="503" s="318" customFormat="1" ht="15.75" customHeight="1"/>
    <row r="504" s="318" customFormat="1" ht="15.75" customHeight="1"/>
    <row r="505" s="318" customFormat="1" ht="15.75" customHeight="1"/>
    <row r="506" s="318" customFormat="1" ht="15.75" customHeight="1"/>
    <row r="507" s="318" customFormat="1" ht="15.75" customHeight="1"/>
    <row r="508" s="318" customFormat="1" ht="15.75" customHeight="1"/>
    <row r="509" s="318" customFormat="1" ht="15.75" customHeight="1"/>
    <row r="510" s="318" customFormat="1" ht="15.75" customHeight="1"/>
    <row r="511" s="318" customFormat="1" ht="15.75" customHeight="1"/>
    <row r="512" s="318" customFormat="1" ht="15.75" customHeight="1"/>
    <row r="513" s="318" customFormat="1" ht="15.75" customHeight="1"/>
    <row r="514" s="318" customFormat="1" ht="15.75" customHeight="1"/>
    <row r="515" s="318" customFormat="1" ht="15.75" customHeight="1"/>
    <row r="516" s="318" customFormat="1" ht="15.75" customHeight="1"/>
    <row r="517" s="318" customFormat="1" ht="15.75" customHeight="1"/>
    <row r="518" s="318" customFormat="1" ht="15.75" customHeight="1"/>
    <row r="519" s="318" customFormat="1" ht="15.75" customHeight="1"/>
    <row r="520" s="318" customFormat="1" ht="15.75" customHeight="1"/>
    <row r="521" s="318" customFormat="1" ht="15.75" customHeight="1"/>
    <row r="522" s="318" customFormat="1" ht="15.75" customHeight="1"/>
    <row r="523" s="318" customFormat="1" ht="15.75" customHeight="1"/>
    <row r="524" s="318" customFormat="1" ht="15.75" customHeight="1"/>
    <row r="525" s="318" customFormat="1" ht="15.75" customHeight="1"/>
    <row r="526" s="318" customFormat="1" ht="15.75" customHeight="1"/>
    <row r="527" s="318" customFormat="1" ht="15.75" customHeight="1"/>
    <row r="528" s="318" customFormat="1" ht="15.75" customHeight="1"/>
    <row r="529" s="318" customFormat="1" ht="15.75" customHeight="1"/>
    <row r="530" s="318" customFormat="1" ht="15.75" customHeight="1"/>
    <row r="531" s="318" customFormat="1" ht="15.75" customHeight="1"/>
    <row r="532" s="318" customFormat="1" ht="15.75" customHeight="1"/>
    <row r="533" s="318" customFormat="1" ht="15.75" customHeight="1"/>
    <row r="534" s="318" customFormat="1" ht="15.75" customHeight="1"/>
    <row r="535" s="318" customFormat="1" ht="15.75" customHeight="1"/>
    <row r="536" s="318" customFormat="1" ht="15.75" customHeight="1"/>
    <row r="537" s="318" customFormat="1" ht="15.75" customHeight="1"/>
    <row r="538" s="318" customFormat="1" ht="15.75" customHeight="1"/>
    <row r="539" s="318" customFormat="1" ht="15.75" customHeight="1"/>
    <row r="540" s="318" customFormat="1" ht="15.75" customHeight="1"/>
    <row r="541" s="318" customFormat="1" ht="15.75" customHeight="1"/>
    <row r="542" s="318" customFormat="1" ht="15.75" customHeight="1"/>
    <row r="543" s="318" customFormat="1" ht="15.75" customHeight="1"/>
    <row r="544" s="318" customFormat="1" ht="15.75" customHeight="1"/>
    <row r="545" s="318" customFormat="1" ht="15.75" customHeight="1"/>
    <row r="546" s="318" customFormat="1" ht="15.75" customHeight="1"/>
    <row r="547" s="318" customFormat="1" ht="15.75" customHeight="1"/>
    <row r="548" s="318" customFormat="1" ht="15.75" customHeight="1"/>
    <row r="549" s="318" customFormat="1" ht="15.75" customHeight="1"/>
    <row r="550" s="318" customFormat="1" ht="15.75" customHeight="1"/>
    <row r="551" s="318" customFormat="1" ht="15.75" customHeight="1"/>
    <row r="552" s="318" customFormat="1" ht="15.75" customHeight="1"/>
    <row r="553" s="318" customFormat="1" ht="15.75" customHeight="1"/>
    <row r="554" s="318" customFormat="1" ht="15.75" customHeight="1"/>
    <row r="555" s="318" customFormat="1" ht="15.75" customHeight="1"/>
    <row r="556" s="318" customFormat="1" ht="15.75" customHeight="1"/>
    <row r="557" s="318" customFormat="1" ht="15.75" customHeight="1"/>
    <row r="558" s="318" customFormat="1" ht="15.75" customHeight="1"/>
    <row r="559" s="318" customFormat="1" ht="15.75" customHeight="1"/>
    <row r="560" s="318" customFormat="1" ht="15.75" customHeight="1"/>
    <row r="561" s="318" customFormat="1" ht="15.75" customHeight="1"/>
    <row r="562" s="318" customFormat="1" ht="15.75" customHeight="1"/>
    <row r="563" s="318" customFormat="1" ht="15.75" customHeight="1"/>
    <row r="564" s="318" customFormat="1" ht="15.75" customHeight="1"/>
    <row r="565" s="318" customFormat="1" ht="15.75" customHeight="1"/>
    <row r="566" s="318" customFormat="1" ht="15.75" customHeight="1"/>
    <row r="567" s="318" customFormat="1" ht="15.75" customHeight="1"/>
    <row r="568" s="318" customFormat="1" ht="15.75" customHeight="1"/>
    <row r="569" s="318" customFormat="1" ht="15.75" customHeight="1"/>
    <row r="570" s="318" customFormat="1" ht="15.75" customHeight="1"/>
    <row r="571" s="318" customFormat="1" ht="15.75" customHeight="1"/>
    <row r="572" s="318" customFormat="1" ht="15.75" customHeight="1"/>
    <row r="573" s="318" customFormat="1" ht="15.75" customHeight="1"/>
    <row r="574" s="318" customFormat="1" ht="15.75" customHeight="1"/>
    <row r="575" s="318" customFormat="1" ht="15.75" customHeight="1"/>
    <row r="576" s="318" customFormat="1" ht="15.75" customHeight="1"/>
    <row r="577" s="318" customFormat="1" ht="15.75" customHeight="1"/>
    <row r="578" s="318" customFormat="1" ht="15.75" customHeight="1"/>
    <row r="579" s="318" customFormat="1" ht="15.75" customHeight="1"/>
    <row r="580" s="318" customFormat="1" ht="15.75" customHeight="1"/>
    <row r="581" s="318" customFormat="1" ht="15.75" customHeight="1"/>
    <row r="582" s="318" customFormat="1" ht="15.75" customHeight="1"/>
    <row r="583" s="318" customFormat="1" ht="15.75" customHeight="1"/>
    <row r="584" s="318" customFormat="1" ht="15.75" customHeight="1"/>
    <row r="585" s="318" customFormat="1" ht="15.75" customHeight="1"/>
    <row r="586" s="318" customFormat="1" ht="15.75" customHeight="1"/>
    <row r="587" s="318" customFormat="1" ht="15.75" customHeight="1"/>
    <row r="588" s="318" customFormat="1" ht="15.75" customHeight="1"/>
    <row r="589" s="318" customFormat="1" ht="15.75" customHeight="1"/>
    <row r="590" s="318" customFormat="1" ht="15.75" customHeight="1"/>
    <row r="591" s="318" customFormat="1" ht="15.75" customHeight="1"/>
    <row r="592" s="318" customFormat="1" ht="15.75" customHeight="1"/>
    <row r="593" s="318" customFormat="1" ht="15.75" customHeight="1"/>
    <row r="594" s="318" customFormat="1" ht="15.75" customHeight="1"/>
    <row r="595" s="318" customFormat="1" ht="15.75" customHeight="1"/>
    <row r="596" s="318" customFormat="1" ht="15.75" customHeight="1"/>
    <row r="597" s="318" customFormat="1" ht="15.75" customHeight="1"/>
    <row r="598" s="318" customFormat="1" ht="15.75" customHeight="1"/>
    <row r="599" s="318" customFormat="1" ht="15.75" customHeight="1"/>
    <row r="600" s="318" customFormat="1" ht="15.75" customHeight="1"/>
    <row r="601" s="318" customFormat="1" ht="15.75" customHeight="1"/>
    <row r="602" s="318" customFormat="1" ht="15.75" customHeight="1"/>
    <row r="603" s="318" customFormat="1" ht="15.75" customHeight="1"/>
    <row r="604" s="318" customFormat="1" ht="15.75" customHeight="1"/>
    <row r="605" s="318" customFormat="1" ht="15.75" customHeight="1"/>
    <row r="606" s="318" customFormat="1" ht="15.75" customHeight="1"/>
    <row r="607" s="318" customFormat="1" ht="15.75" customHeight="1"/>
    <row r="608" s="318" customFormat="1" ht="15.75" customHeight="1"/>
    <row r="609" s="318" customFormat="1" ht="15.75" customHeight="1"/>
    <row r="610" s="318" customFormat="1" ht="15.75" customHeight="1"/>
    <row r="611" s="318" customFormat="1" ht="15.75" customHeight="1"/>
    <row r="612" s="318" customFormat="1" ht="15.75" customHeight="1"/>
    <row r="613" s="318" customFormat="1" ht="15.75" customHeight="1"/>
    <row r="614" s="318" customFormat="1" ht="15.75" customHeight="1"/>
    <row r="615" s="318" customFormat="1" ht="15.75" customHeight="1"/>
    <row r="616" s="318" customFormat="1" ht="15.75" customHeight="1"/>
    <row r="617" s="318" customFormat="1" ht="15.75" customHeight="1"/>
    <row r="618" s="318" customFormat="1" ht="15.75" customHeight="1"/>
    <row r="619" s="318" customFormat="1" ht="15.75" customHeight="1"/>
    <row r="620" s="318" customFormat="1" ht="15.75" customHeight="1"/>
    <row r="621" s="318" customFormat="1" ht="15.75" customHeight="1"/>
    <row r="622" s="318" customFormat="1" ht="15.75" customHeight="1"/>
    <row r="623" s="318" customFormat="1" ht="15.75" customHeight="1"/>
    <row r="624" s="318" customFormat="1" ht="15.75" customHeight="1"/>
    <row r="625" s="318" customFormat="1" ht="15.75" customHeight="1"/>
    <row r="626" s="318" customFormat="1" ht="15.75" customHeight="1"/>
    <row r="627" s="318" customFormat="1" ht="15.75" customHeight="1"/>
    <row r="628" s="318" customFormat="1" ht="15.75" customHeight="1"/>
    <row r="629" s="318" customFormat="1" ht="15.75" customHeight="1"/>
    <row r="630" s="318" customFormat="1" ht="15.75" customHeight="1"/>
    <row r="631" s="318" customFormat="1" ht="15.75" customHeight="1"/>
    <row r="632" s="318" customFormat="1" ht="15.75" customHeight="1"/>
    <row r="633" s="318" customFormat="1" ht="15.75" customHeight="1"/>
    <row r="634" s="318" customFormat="1" ht="15.75" customHeight="1"/>
    <row r="635" s="318" customFormat="1" ht="15.75" customHeight="1"/>
    <row r="636" s="318" customFormat="1" ht="15.75" customHeight="1"/>
    <row r="637" s="318" customFormat="1" ht="15.75" customHeight="1"/>
    <row r="638" s="318" customFormat="1" ht="15.75" customHeight="1"/>
    <row r="639" s="318" customFormat="1" ht="15.75" customHeight="1"/>
    <row r="640" s="318" customFormat="1" ht="15.75" customHeight="1"/>
    <row r="641" s="318" customFormat="1" ht="15.75" customHeight="1"/>
    <row r="642" s="318" customFormat="1" ht="15.75" customHeight="1"/>
    <row r="643" s="318" customFormat="1" ht="15.75" customHeight="1"/>
    <row r="644" s="318" customFormat="1" ht="15.75" customHeight="1"/>
    <row r="645" s="318" customFormat="1" ht="15.75" customHeight="1"/>
    <row r="646" s="318" customFormat="1" ht="15.75" customHeight="1"/>
    <row r="647" s="318" customFormat="1" ht="15.75" customHeight="1"/>
    <row r="648" s="318" customFormat="1" ht="15.75" customHeight="1"/>
    <row r="649" s="318" customFormat="1" ht="15.75" customHeight="1"/>
    <row r="650" s="318" customFormat="1" ht="15.75" customHeight="1"/>
    <row r="651" s="318" customFormat="1" ht="15.75" customHeight="1"/>
    <row r="652" s="318" customFormat="1" ht="15.75" customHeight="1"/>
    <row r="653" s="318" customFormat="1" ht="15.75" customHeight="1"/>
    <row r="654" s="318" customFormat="1" ht="15.75" customHeight="1"/>
    <row r="655" s="318" customFormat="1" ht="15.75" customHeight="1"/>
    <row r="656" s="318" customFormat="1" ht="15.75" customHeight="1"/>
    <row r="657" s="318" customFormat="1" ht="15.75" customHeight="1"/>
    <row r="658" s="318" customFormat="1" ht="15.75" customHeight="1"/>
    <row r="659" s="318" customFormat="1" ht="15.75" customHeight="1"/>
    <row r="660" s="318" customFormat="1" ht="15.75" customHeight="1"/>
    <row r="661" s="318" customFormat="1" ht="15.75" customHeight="1"/>
    <row r="662" s="318" customFormat="1" ht="15.75" customHeight="1"/>
    <row r="663" s="318" customFormat="1" ht="15.75" customHeight="1"/>
    <row r="664" s="318" customFormat="1" ht="15.75" customHeight="1"/>
    <row r="665" s="318" customFormat="1" ht="15.75" customHeight="1"/>
    <row r="666" s="318" customFormat="1" ht="15.75" customHeight="1"/>
    <row r="667" s="318" customFormat="1" ht="15.75" customHeight="1"/>
    <row r="668" s="318" customFormat="1" ht="15.75" customHeight="1"/>
    <row r="669" s="318" customFormat="1" ht="15.75" customHeight="1"/>
    <row r="670" s="318" customFormat="1" ht="15.75" customHeight="1"/>
    <row r="671" s="318" customFormat="1" ht="15.75" customHeight="1"/>
    <row r="672" s="318" customFormat="1" ht="15.75" customHeight="1"/>
    <row r="673" s="318" customFormat="1" ht="15.75" customHeight="1"/>
    <row r="674" s="318" customFormat="1" ht="15.75" customHeight="1"/>
    <row r="675" s="318" customFormat="1" ht="15.75" customHeight="1"/>
    <row r="676" s="318" customFormat="1" ht="15.75" customHeight="1"/>
    <row r="677" s="318" customFormat="1" ht="15.75" customHeight="1"/>
    <row r="678" s="318" customFormat="1" ht="15.75" customHeight="1"/>
    <row r="679" s="318" customFormat="1" ht="15.75" customHeight="1"/>
    <row r="680" s="318" customFormat="1" ht="15.75" customHeight="1"/>
    <row r="681" s="318" customFormat="1" ht="15.75" customHeight="1"/>
    <row r="682" s="318" customFormat="1" ht="15.75" customHeight="1"/>
    <row r="683" s="318" customFormat="1" ht="15.75" customHeight="1"/>
    <row r="684" s="318" customFormat="1" ht="15.75" customHeight="1"/>
    <row r="685" s="318" customFormat="1" ht="15.75" customHeight="1"/>
    <row r="686" s="318" customFormat="1" ht="15.75" customHeight="1"/>
    <row r="687" s="318" customFormat="1" ht="15.75" customHeight="1"/>
    <row r="688" s="318" customFormat="1" ht="15.75" customHeight="1"/>
    <row r="689" s="318" customFormat="1" ht="15.75" customHeight="1"/>
    <row r="690" s="318" customFormat="1" ht="15.75" customHeight="1"/>
    <row r="691" s="318" customFormat="1" ht="15.75" customHeight="1"/>
    <row r="692" s="318" customFormat="1" ht="15.75" customHeight="1"/>
    <row r="693" s="318" customFormat="1" ht="15.75" customHeight="1"/>
    <row r="694" s="318" customFormat="1" ht="15.75" customHeight="1"/>
    <row r="695" s="318" customFormat="1" ht="15.75" customHeight="1"/>
    <row r="696" s="318" customFormat="1" ht="15.75" customHeight="1"/>
    <row r="697" s="318" customFormat="1" ht="15.75" customHeight="1"/>
    <row r="698" s="318" customFormat="1" ht="15.75" customHeight="1"/>
    <row r="699" s="318" customFormat="1" ht="15.75" customHeight="1"/>
    <row r="700" s="318" customFormat="1" ht="15.75" customHeight="1"/>
    <row r="701" s="318" customFormat="1" ht="15.75" customHeight="1"/>
    <row r="702" s="318" customFormat="1" ht="15.75" customHeight="1"/>
    <row r="703" s="318" customFormat="1" ht="15.75" customHeight="1"/>
    <row r="704" s="318" customFormat="1" ht="15.75" customHeight="1"/>
    <row r="705" s="318" customFormat="1" ht="15.75" customHeight="1"/>
    <row r="706" s="318" customFormat="1" ht="15.75" customHeight="1"/>
    <row r="707" s="318" customFormat="1" ht="15.75" customHeight="1"/>
    <row r="708" s="318" customFormat="1" ht="15.75" customHeight="1"/>
    <row r="709" s="318" customFormat="1" ht="15.75" customHeight="1"/>
    <row r="710" s="318" customFormat="1" ht="15.75" customHeight="1"/>
    <row r="711" s="318" customFormat="1" ht="15.75" customHeight="1"/>
    <row r="712" s="318" customFormat="1" ht="15.75" customHeight="1"/>
    <row r="713" s="318" customFormat="1" ht="15.75" customHeight="1"/>
    <row r="714" s="318" customFormat="1" ht="15.75" customHeight="1"/>
    <row r="715" s="318" customFormat="1" ht="15.75" customHeight="1"/>
    <row r="716" s="318" customFormat="1" ht="15.75" customHeight="1"/>
    <row r="717" s="318" customFormat="1" ht="15.75" customHeight="1"/>
    <row r="718" s="318" customFormat="1" ht="15.75" customHeight="1"/>
    <row r="719" s="318" customFormat="1" ht="15.75" customHeight="1"/>
    <row r="720" s="318" customFormat="1" ht="15.75" customHeight="1"/>
    <row r="721" s="318" customFormat="1" ht="15.75" customHeight="1"/>
    <row r="722" s="318" customFormat="1" ht="15.75" customHeight="1"/>
    <row r="723" s="318" customFormat="1" ht="15.75" customHeight="1"/>
    <row r="724" s="318" customFormat="1" ht="15.75" customHeight="1"/>
    <row r="725" s="318" customFormat="1" ht="15.75" customHeight="1"/>
    <row r="726" s="318" customFormat="1" ht="15.75" customHeight="1"/>
    <row r="727" s="318" customFormat="1" ht="15.75" customHeight="1"/>
    <row r="728" s="318" customFormat="1" ht="15.75" customHeight="1"/>
    <row r="729" s="318" customFormat="1" ht="15.75" customHeight="1"/>
    <row r="730" s="318" customFormat="1" ht="15.75" customHeight="1"/>
    <row r="731" s="318" customFormat="1" ht="15.75" customHeight="1"/>
    <row r="732" s="318" customFormat="1" ht="15.75" customHeight="1"/>
    <row r="733" s="318" customFormat="1" ht="15.75" customHeight="1"/>
    <row r="734" s="318" customFormat="1" ht="15.75" customHeight="1"/>
    <row r="735" s="318" customFormat="1" ht="15.75" customHeight="1"/>
    <row r="736" s="318" customFormat="1" ht="15.75" customHeight="1"/>
    <row r="737" s="318" customFormat="1" ht="15.75" customHeight="1"/>
    <row r="738" s="318" customFormat="1" ht="15.75" customHeight="1"/>
    <row r="739" s="318" customFormat="1" ht="15.75" customHeight="1"/>
    <row r="740" s="318" customFormat="1" ht="15.75" customHeight="1"/>
    <row r="741" s="318" customFormat="1" ht="15.75" customHeight="1"/>
    <row r="742" s="318" customFormat="1" ht="15.75" customHeight="1"/>
    <row r="743" s="318" customFormat="1" ht="15.75" customHeight="1"/>
    <row r="744" s="318" customFormat="1" ht="15.75" customHeight="1"/>
    <row r="745" s="318" customFormat="1" ht="15.75" customHeight="1"/>
    <row r="746" s="318" customFormat="1" ht="15.75" customHeight="1"/>
    <row r="747" s="318" customFormat="1" ht="15.75" customHeight="1"/>
    <row r="748" s="318" customFormat="1" ht="15.75" customHeight="1"/>
    <row r="749" s="318" customFormat="1" ht="15.75" customHeight="1"/>
    <row r="750" s="318" customFormat="1" ht="15.75" customHeight="1"/>
    <row r="751" s="318" customFormat="1" ht="15.75" customHeight="1"/>
    <row r="752" s="318" customFormat="1" ht="15.75" customHeight="1"/>
    <row r="753" s="318" customFormat="1" ht="15.75" customHeight="1"/>
    <row r="754" s="318" customFormat="1" ht="15.75" customHeight="1"/>
    <row r="755" s="318" customFormat="1" ht="15.75" customHeight="1"/>
    <row r="756" s="318" customFormat="1" ht="15.75" customHeight="1"/>
    <row r="757" s="318" customFormat="1" ht="15.75" customHeight="1"/>
    <row r="758" s="318" customFormat="1" ht="15.75" customHeight="1"/>
    <row r="759" s="318" customFormat="1" ht="15.75" customHeight="1"/>
    <row r="760" s="318" customFormat="1" ht="15.75" customHeight="1"/>
    <row r="761" s="318" customFormat="1" ht="15.75" customHeight="1"/>
    <row r="762" s="318" customFormat="1" ht="15.75" customHeight="1"/>
    <row r="763" s="318" customFormat="1" ht="15.75" customHeight="1"/>
    <row r="764" s="318" customFormat="1" ht="15.75" customHeight="1"/>
    <row r="765" s="318" customFormat="1" ht="15.75" customHeight="1"/>
    <row r="766" s="318" customFormat="1" ht="15.75" customHeight="1"/>
    <row r="767" s="318" customFormat="1" ht="15.75" customHeight="1"/>
    <row r="768" s="318" customFormat="1" ht="15.75" customHeight="1"/>
    <row r="769" s="318" customFormat="1" ht="15.75" customHeight="1"/>
    <row r="770" s="318" customFormat="1" ht="15.75" customHeight="1"/>
    <row r="771" s="318" customFormat="1" ht="15.75" customHeight="1"/>
    <row r="772" s="318" customFormat="1" ht="15.75" customHeight="1"/>
    <row r="773" s="318" customFormat="1" ht="15.75" customHeight="1"/>
    <row r="774" s="318" customFormat="1" ht="15.75" customHeight="1"/>
    <row r="775" s="318" customFormat="1" ht="15.75" customHeight="1"/>
    <row r="776" s="318" customFormat="1" ht="15.75" customHeight="1"/>
    <row r="777" s="318" customFormat="1" ht="15.75" customHeight="1"/>
    <row r="778" s="318" customFormat="1" ht="15.75" customHeight="1"/>
    <row r="779" s="318" customFormat="1" ht="15.75" customHeight="1"/>
    <row r="780" s="318" customFormat="1" ht="15.75" customHeight="1"/>
    <row r="781" s="318" customFormat="1" ht="15.75" customHeight="1"/>
    <row r="782" s="318" customFormat="1" ht="15.75" customHeight="1"/>
    <row r="783" s="318" customFormat="1" ht="15.75" customHeight="1"/>
    <row r="784" s="318" customFormat="1" ht="15.75" customHeight="1"/>
    <row r="785" s="318" customFormat="1" ht="15.75" customHeight="1"/>
    <row r="786" s="318" customFormat="1" ht="15.75" customHeight="1"/>
    <row r="787" s="318" customFormat="1" ht="15.75" customHeight="1"/>
    <row r="788" s="318" customFormat="1" ht="15.75" customHeight="1"/>
    <row r="789" s="318" customFormat="1" ht="15.75" customHeight="1"/>
    <row r="790" s="318" customFormat="1" ht="15.75" customHeight="1"/>
    <row r="791" s="318" customFormat="1" ht="15.75" customHeight="1"/>
    <row r="792" s="318" customFormat="1" ht="15.75" customHeight="1"/>
    <row r="793" s="318" customFormat="1" ht="15.75" customHeight="1"/>
    <row r="794" s="318" customFormat="1" ht="15.75" customHeight="1"/>
    <row r="795" s="318" customFormat="1" ht="15.75" customHeight="1"/>
    <row r="796" s="318" customFormat="1" ht="15.75" customHeight="1"/>
    <row r="797" s="318" customFormat="1" ht="15.75" customHeight="1"/>
    <row r="798" s="318" customFormat="1" ht="15.75" customHeight="1"/>
    <row r="799" s="318" customFormat="1" ht="15.75" customHeight="1"/>
    <row r="800" s="318" customFormat="1" ht="15.75" customHeight="1"/>
    <row r="801" s="318" customFormat="1" ht="15.75" customHeight="1"/>
    <row r="802" s="318" customFormat="1" ht="15.75" customHeight="1"/>
    <row r="803" s="318" customFormat="1" ht="15.75" customHeight="1"/>
    <row r="804" s="318" customFormat="1" ht="15.75" customHeight="1"/>
    <row r="805" s="318" customFormat="1" ht="15.75" customHeight="1"/>
    <row r="806" s="318" customFormat="1" ht="15.75" customHeight="1"/>
    <row r="807" s="318" customFormat="1" ht="15.75" customHeight="1"/>
    <row r="808" s="318" customFormat="1" ht="15.75" customHeight="1"/>
    <row r="809" s="318" customFormat="1" ht="15.75" customHeight="1"/>
    <row r="810" s="318" customFormat="1" ht="15.75" customHeight="1"/>
    <row r="811" s="318" customFormat="1" ht="15.75" customHeight="1"/>
    <row r="812" s="318" customFormat="1" ht="15.75" customHeight="1"/>
    <row r="813" s="318" customFormat="1" ht="15.75" customHeight="1"/>
    <row r="814" s="318" customFormat="1" ht="15.75" customHeight="1"/>
    <row r="815" s="318" customFormat="1" ht="15.75" customHeight="1"/>
    <row r="816" s="318" customFormat="1" ht="15.75" customHeight="1"/>
    <row r="817" s="318" customFormat="1" ht="15.75" customHeight="1"/>
    <row r="818" s="318" customFormat="1" ht="15.75" customHeight="1"/>
    <row r="819" s="318" customFormat="1" ht="15.75" customHeight="1"/>
    <row r="820" s="318" customFormat="1" ht="15.75" customHeight="1"/>
    <row r="821" s="318" customFormat="1" ht="15.75" customHeight="1"/>
    <row r="822" s="318" customFormat="1" ht="15.75" customHeight="1"/>
    <row r="823" s="318" customFormat="1" ht="15.75" customHeight="1"/>
    <row r="824" s="318" customFormat="1" ht="15.75" customHeight="1"/>
    <row r="825" s="318" customFormat="1" ht="15.75" customHeight="1"/>
    <row r="826" s="318" customFormat="1" ht="15.75" customHeight="1"/>
    <row r="827" s="318" customFormat="1" ht="15.75" customHeight="1"/>
    <row r="828" s="318" customFormat="1" ht="15.75" customHeight="1"/>
    <row r="829" s="318" customFormat="1" ht="15.75" customHeight="1"/>
    <row r="830" s="318" customFormat="1" ht="15.75" customHeight="1"/>
    <row r="831" s="318" customFormat="1" ht="15.75" customHeight="1"/>
    <row r="832" s="318" customFormat="1" ht="15.75" customHeight="1"/>
    <row r="833" s="318" customFormat="1" ht="15.75" customHeight="1"/>
    <row r="834" s="318" customFormat="1" ht="15.75" customHeight="1"/>
    <row r="835" s="318" customFormat="1" ht="15.75" customHeight="1"/>
    <row r="836" s="318" customFormat="1" ht="15.75" customHeight="1"/>
    <row r="837" s="318" customFormat="1" ht="15.75" customHeight="1"/>
    <row r="838" s="318" customFormat="1" ht="15.75" customHeight="1"/>
    <row r="839" s="318" customFormat="1" ht="15.75" customHeight="1"/>
    <row r="840" s="318" customFormat="1" ht="15.75" customHeight="1"/>
    <row r="841" s="318" customFormat="1" ht="15.75" customHeight="1"/>
    <row r="842" s="318" customFormat="1" ht="15.75" customHeight="1"/>
    <row r="843" s="318" customFormat="1" ht="15.75" customHeight="1"/>
    <row r="844" s="318" customFormat="1" ht="15.75" customHeight="1"/>
    <row r="845" s="318" customFormat="1" ht="15.75" customHeight="1"/>
    <row r="846" s="318" customFormat="1" ht="15.75" customHeight="1"/>
    <row r="847" s="318" customFormat="1" ht="15.75" customHeight="1"/>
    <row r="848" s="318" customFormat="1" ht="15.75" customHeight="1"/>
    <row r="849" s="318" customFormat="1" ht="15.75" customHeight="1"/>
    <row r="850" s="318" customFormat="1" ht="15.75" customHeight="1"/>
    <row r="851" s="318" customFormat="1" ht="15.75" customHeight="1"/>
    <row r="852" s="318" customFormat="1" ht="15.75" customHeight="1"/>
    <row r="853" s="318" customFormat="1" ht="15.75" customHeight="1"/>
    <row r="854" s="318" customFormat="1" ht="15.75" customHeight="1"/>
    <row r="855" s="318" customFormat="1" ht="15.75" customHeight="1"/>
    <row r="856" s="318" customFormat="1" ht="15.75" customHeight="1"/>
    <row r="857" s="318" customFormat="1" ht="15.75" customHeight="1"/>
    <row r="858" s="318" customFormat="1" ht="15.75" customHeight="1"/>
    <row r="859" s="318" customFormat="1" ht="15.75" customHeight="1"/>
    <row r="860" s="318" customFormat="1" ht="15.75" customHeight="1"/>
    <row r="861" s="318" customFormat="1" ht="15.75" customHeight="1"/>
    <row r="862" s="318" customFormat="1" ht="15.75" customHeight="1"/>
    <row r="863" s="318" customFormat="1" ht="15.75" customHeight="1"/>
    <row r="864" s="318" customFormat="1" ht="15.75" customHeight="1"/>
    <row r="865" s="318" customFormat="1" ht="15.75" customHeight="1"/>
    <row r="866" s="318" customFormat="1" ht="15.75" customHeight="1"/>
    <row r="867" s="318" customFormat="1" ht="15.75" customHeight="1"/>
    <row r="868" s="318" customFormat="1" ht="15.75" customHeight="1"/>
    <row r="869" s="318" customFormat="1" ht="15.75" customHeight="1"/>
    <row r="870" s="318" customFormat="1" ht="15.75" customHeight="1"/>
    <row r="871" s="318" customFormat="1" ht="15.75" customHeight="1"/>
    <row r="872" s="318" customFormat="1" ht="15.75" customHeight="1"/>
    <row r="873" s="318" customFormat="1" ht="15.75" customHeight="1"/>
    <row r="874" s="318" customFormat="1" ht="15.75" customHeight="1"/>
    <row r="875" s="318" customFormat="1" ht="15.75" customHeight="1"/>
    <row r="876" s="318" customFormat="1" ht="15.75" customHeight="1"/>
    <row r="877" s="318" customFormat="1" ht="15.75" customHeight="1"/>
    <row r="878" s="318" customFormat="1" ht="15.75" customHeight="1"/>
    <row r="879" s="318" customFormat="1" ht="15.75" customHeight="1"/>
    <row r="880" s="318" customFormat="1" ht="15.75" customHeight="1"/>
    <row r="881" s="318" customFormat="1" ht="15.75" customHeight="1"/>
    <row r="882" s="318" customFormat="1" ht="15.75" customHeight="1"/>
    <row r="883" s="318" customFormat="1" ht="15.75" customHeight="1"/>
    <row r="884" s="318" customFormat="1" ht="15.75" customHeight="1"/>
    <row r="885" s="318" customFormat="1" ht="15.75" customHeight="1"/>
    <row r="886" s="318" customFormat="1" ht="15.75" customHeight="1"/>
    <row r="887" s="318" customFormat="1" ht="15.75" customHeight="1"/>
    <row r="888" s="318" customFormat="1" ht="15.75" customHeight="1"/>
    <row r="889" s="318" customFormat="1" ht="15.75" customHeight="1"/>
    <row r="890" s="318" customFormat="1" ht="15.75" customHeight="1"/>
    <row r="891" s="318" customFormat="1" ht="15.75" customHeight="1"/>
    <row r="892" s="318" customFormat="1" ht="15.75" customHeight="1"/>
    <row r="893" s="318" customFormat="1" ht="15.75" customHeight="1"/>
    <row r="894" s="318" customFormat="1" ht="15.75" customHeight="1"/>
    <row r="895" s="318" customFormat="1" ht="15.75" customHeight="1"/>
    <row r="896" s="318" customFormat="1" ht="15.75" customHeight="1"/>
    <row r="897" s="318" customFormat="1" ht="15.75" customHeight="1"/>
    <row r="898" s="318" customFormat="1" ht="15.75" customHeight="1"/>
    <row r="899" s="318" customFormat="1" ht="15.75" customHeight="1"/>
    <row r="900" s="318" customFormat="1" ht="15.75" customHeight="1"/>
    <row r="901" s="318" customFormat="1" ht="15.75" customHeight="1"/>
    <row r="902" s="318" customFormat="1" ht="15.75" customHeight="1"/>
    <row r="903" s="318" customFormat="1" ht="15.75" customHeight="1"/>
    <row r="904" s="318" customFormat="1" ht="15.75" customHeight="1"/>
    <row r="905" s="318" customFormat="1" ht="15.75" customHeight="1"/>
    <row r="906" s="318" customFormat="1" ht="15.75" customHeight="1"/>
    <row r="907" s="318" customFormat="1" ht="15.75" customHeight="1"/>
    <row r="908" s="318" customFormat="1" ht="15.75" customHeight="1"/>
    <row r="909" s="318" customFormat="1" ht="15.75" customHeight="1"/>
    <row r="910" s="318" customFormat="1" ht="15.75" customHeight="1"/>
    <row r="911" s="318" customFormat="1" ht="15.75" customHeight="1"/>
    <row r="912" s="318" customFormat="1" ht="15.75" customHeight="1"/>
    <row r="913" s="318" customFormat="1" ht="15.75" customHeight="1"/>
    <row r="914" s="318" customFormat="1" ht="15.75" customHeight="1"/>
    <row r="915" s="318" customFormat="1" ht="15.75" customHeight="1"/>
    <row r="916" s="318" customFormat="1" ht="15.75" customHeight="1"/>
    <row r="917" s="318" customFormat="1" ht="15.75" customHeight="1"/>
    <row r="918" s="318" customFormat="1" ht="15.75" customHeight="1"/>
    <row r="919" s="318" customFormat="1" ht="15.75" customHeight="1"/>
    <row r="920" s="318" customFormat="1" ht="15.75" customHeight="1"/>
    <row r="921" s="318" customFormat="1" ht="15.75" customHeight="1"/>
    <row r="922" s="318" customFormat="1" ht="15.75" customHeight="1"/>
    <row r="923" s="318" customFormat="1" ht="15.75" customHeight="1"/>
    <row r="924" s="318" customFormat="1" ht="15.75" customHeight="1"/>
    <row r="925" s="318" customFormat="1" ht="15.75" customHeight="1"/>
    <row r="926" s="318" customFormat="1" ht="15.75" customHeight="1"/>
    <row r="927" s="318" customFormat="1" ht="15.75" customHeight="1"/>
    <row r="928" s="318" customFormat="1" ht="15.75" customHeight="1"/>
    <row r="929" s="318" customFormat="1" ht="15.75" customHeight="1"/>
    <row r="930" s="318" customFormat="1" ht="15.75" customHeight="1"/>
    <row r="931" s="318" customFormat="1" ht="15.75" customHeight="1"/>
    <row r="932" s="318" customFormat="1" ht="15.75" customHeight="1"/>
    <row r="933" s="318" customFormat="1" ht="15.75" customHeight="1"/>
    <row r="934" s="318" customFormat="1" ht="15.75" customHeight="1"/>
    <row r="935" s="318" customFormat="1" ht="15.75" customHeight="1"/>
    <row r="936" s="318" customFormat="1" ht="15.75" customHeight="1"/>
    <row r="937" s="318" customFormat="1" ht="15.75" customHeight="1"/>
    <row r="938" s="318" customFormat="1" ht="15.75" customHeight="1"/>
    <row r="939" s="318" customFormat="1" ht="15.75" customHeight="1"/>
    <row r="940" s="318" customFormat="1" ht="15.75" customHeight="1"/>
    <row r="941" s="318" customFormat="1" ht="15.75" customHeight="1"/>
    <row r="942" s="318" customFormat="1" ht="15.75" customHeight="1"/>
    <row r="943" s="318" customFormat="1" ht="15.75" customHeight="1"/>
    <row r="944" s="318" customFormat="1" ht="15.75" customHeight="1"/>
    <row r="945" s="318" customFormat="1" ht="15.75" customHeight="1"/>
    <row r="946" s="318" customFormat="1" ht="15.75" customHeight="1"/>
    <row r="947" s="318" customFormat="1" ht="15.75" customHeight="1"/>
    <row r="948" s="318" customFormat="1" ht="15.75" customHeight="1"/>
    <row r="949" s="318" customFormat="1" ht="15.75" customHeight="1"/>
    <row r="950" s="318" customFormat="1" ht="15.75" customHeight="1"/>
    <row r="951" s="318" customFormat="1" ht="15.75" customHeight="1"/>
    <row r="952" s="318" customFormat="1" ht="15.75" customHeight="1"/>
    <row r="953" s="318" customFormat="1" ht="15.75" customHeight="1"/>
    <row r="954" s="318" customFormat="1" ht="15.75" customHeight="1"/>
    <row r="955" s="318" customFormat="1" ht="15.75" customHeight="1"/>
    <row r="956" s="318" customFormat="1" ht="15.75" customHeight="1"/>
    <row r="957" s="318" customFormat="1" ht="15.75" customHeight="1"/>
    <row r="958" s="318" customFormat="1" ht="15.75" customHeight="1"/>
    <row r="959" s="318" customFormat="1" ht="15.75" customHeight="1"/>
    <row r="960" s="318" customFormat="1" ht="15.75" customHeight="1"/>
    <row r="961" s="318" customFormat="1" ht="15.75" customHeight="1"/>
    <row r="962" s="318" customFormat="1" ht="15.75" customHeight="1"/>
    <row r="963" s="318" customFormat="1" ht="15.75" customHeight="1"/>
    <row r="964" s="318" customFormat="1" ht="15.75" customHeight="1"/>
    <row r="965" s="318" customFormat="1" ht="15.75" customHeight="1"/>
    <row r="966" s="318" customFormat="1" ht="15.75" customHeight="1"/>
    <row r="967" s="318" customFormat="1" ht="15.75" customHeight="1"/>
    <row r="968" s="318" customFormat="1" ht="15.75" customHeight="1"/>
    <row r="969" s="318" customFormat="1" ht="15.75" customHeight="1"/>
    <row r="970" s="318" customFormat="1" ht="15.75" customHeight="1"/>
    <row r="971" s="318" customFormat="1" ht="15.75" customHeight="1"/>
    <row r="972" s="318" customFormat="1" ht="15.75" customHeight="1"/>
    <row r="973" s="318" customFormat="1" ht="15.75" customHeight="1"/>
    <row r="974" s="318" customFormat="1" ht="15.75" customHeight="1"/>
    <row r="975" s="318" customFormat="1" ht="15.75" customHeight="1"/>
    <row r="976" s="318" customFormat="1" ht="15.75" customHeight="1"/>
    <row r="977" s="318" customFormat="1" ht="15.75" customHeight="1"/>
    <row r="978" s="318" customFormat="1" ht="15.75" customHeight="1"/>
    <row r="979" s="318" customFormat="1" ht="15.75" customHeight="1"/>
    <row r="980" s="318" customFormat="1" ht="15.75" customHeight="1"/>
    <row r="981" s="318" customFormat="1" ht="15.75" customHeight="1"/>
    <row r="982" s="318" customFormat="1" ht="15.75" customHeight="1"/>
    <row r="983" s="318" customFormat="1" ht="15.75" customHeight="1"/>
    <row r="984" s="318" customFormat="1" ht="15.75" customHeight="1"/>
    <row r="985" s="318" customFormat="1" ht="15.75" customHeight="1"/>
    <row r="986" s="318" customFormat="1" ht="15.75" customHeight="1"/>
    <row r="987" s="318" customFormat="1" ht="15.75" customHeight="1"/>
    <row r="988" s="318" customFormat="1" ht="15.75" customHeight="1"/>
    <row r="989" s="318" customFormat="1" ht="15.75" customHeight="1"/>
    <row r="990" s="318" customFormat="1" ht="15.75" customHeight="1"/>
    <row r="991" s="318" customFormat="1" ht="15.75" customHeight="1"/>
    <row r="992" s="318" customFormat="1" ht="15.75" customHeight="1"/>
    <row r="993" s="318" customFormat="1" ht="15.75" customHeight="1"/>
    <row r="994" s="318" customFormat="1" ht="15.75" customHeight="1"/>
    <row r="995" s="318" customFormat="1" ht="15.75" customHeight="1"/>
    <row r="996" s="318" customFormat="1" ht="15.75" customHeight="1"/>
    <row r="997" s="318" customFormat="1" ht="15.75" customHeight="1"/>
    <row r="998" s="318" customFormat="1" ht="15.75" customHeight="1"/>
    <row r="999" s="318" customFormat="1" ht="15.75" customHeight="1"/>
    <row r="1000" s="318" customFormat="1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A19" workbookViewId="0">
      <selection activeCell="Z25" sqref="Z25"/>
    </sheetView>
  </sheetViews>
  <sheetFormatPr defaultColWidth="14.42578125" defaultRowHeight="15" customHeight="1"/>
  <cols>
    <col min="1" max="15" width="3.85546875" customWidth="1"/>
    <col min="16" max="16" width="4.7109375" customWidth="1"/>
    <col min="17" max="17" width="4.42578125" customWidth="1"/>
    <col min="18" max="23" width="3.85546875" customWidth="1"/>
    <col min="24" max="25" width="3.5703125" customWidth="1"/>
    <col min="26" max="26" width="50.42578125" customWidth="1"/>
  </cols>
  <sheetData>
    <row r="1" spans="1:26" ht="14.25" customHeight="1">
      <c r="A1" s="201" t="s">
        <v>231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4"/>
      <c r="Y1" s="70"/>
      <c r="Z1" s="70"/>
    </row>
    <row r="2" spans="1:26" ht="14.25" customHeight="1">
      <c r="A2" s="217" t="s">
        <v>232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3"/>
      <c r="Y2" s="70"/>
      <c r="Z2" s="70"/>
    </row>
    <row r="3" spans="1:26" ht="14.25" customHeight="1">
      <c r="A3" s="21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4.25" customHeight="1">
      <c r="A4" s="16" t="s">
        <v>16</v>
      </c>
      <c r="B4" s="6"/>
      <c r="C4" s="3"/>
      <c r="D4" s="3"/>
      <c r="E4" s="3"/>
      <c r="F4" s="3"/>
      <c r="G4" s="210" t="str">
        <f>Return!H8</f>
        <v>Samiul Bashar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0"/>
      <c r="Y4" s="10"/>
      <c r="Z4" s="70"/>
    </row>
    <row r="5" spans="1:26" ht="14.25" customHeight="1">
      <c r="A5" s="71"/>
      <c r="B5" s="54"/>
      <c r="C5" s="54"/>
      <c r="D5" s="54"/>
      <c r="E5" s="54"/>
      <c r="F5" s="54"/>
      <c r="G5" s="54"/>
      <c r="H5" s="54"/>
      <c r="I5" s="4" t="s">
        <v>53</v>
      </c>
      <c r="J5" s="4"/>
      <c r="K5" s="31">
        <f>Return!D114</f>
        <v>1</v>
      </c>
      <c r="L5" s="31">
        <f>Return!E114</f>
        <v>2</v>
      </c>
      <c r="M5" s="31">
        <f>Return!F114</f>
        <v>3</v>
      </c>
      <c r="N5" s="32" t="str">
        <f>Return!G114</f>
        <v>-</v>
      </c>
      <c r="O5" s="31">
        <f>Return!H114</f>
        <v>4</v>
      </c>
      <c r="P5" s="31">
        <f>Return!I114</f>
        <v>5</v>
      </c>
      <c r="Q5" s="31">
        <f>Return!J114</f>
        <v>6</v>
      </c>
      <c r="R5" s="32" t="str">
        <f>Return!K114</f>
        <v>-</v>
      </c>
      <c r="S5" s="31">
        <f>Return!L114</f>
        <v>7</v>
      </c>
      <c r="T5" s="31">
        <f>Return!M114</f>
        <v>8</v>
      </c>
      <c r="U5" s="31">
        <f>Return!N114</f>
        <v>9</v>
      </c>
      <c r="V5" s="55">
        <f>Return!O114</f>
        <v>0</v>
      </c>
      <c r="W5" s="70"/>
      <c r="X5" s="70"/>
      <c r="Y5" s="70"/>
      <c r="Z5" s="70"/>
    </row>
    <row r="6" spans="1:26" ht="14.25" customHeight="1">
      <c r="A6" s="75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6.5" customHeight="1">
      <c r="A7" s="264" t="s">
        <v>233</v>
      </c>
      <c r="B7" s="226"/>
      <c r="C7" s="226"/>
      <c r="D7" s="226"/>
      <c r="E7" s="227"/>
      <c r="F7" s="266" t="s">
        <v>234</v>
      </c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7"/>
      <c r="R7" s="265" t="s">
        <v>68</v>
      </c>
      <c r="S7" s="226"/>
      <c r="T7" s="226"/>
      <c r="U7" s="227"/>
      <c r="V7" s="265" t="s">
        <v>68</v>
      </c>
      <c r="W7" s="226"/>
      <c r="X7" s="226"/>
      <c r="Y7" s="227"/>
      <c r="Z7" s="74"/>
    </row>
    <row r="8" spans="1:26" ht="27.75" customHeight="1">
      <c r="A8" s="228"/>
      <c r="B8" s="229"/>
      <c r="C8" s="229"/>
      <c r="D8" s="229"/>
      <c r="E8" s="230"/>
      <c r="F8" s="228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30"/>
      <c r="R8" s="228"/>
      <c r="S8" s="229"/>
      <c r="T8" s="229"/>
      <c r="U8" s="230"/>
      <c r="V8" s="228"/>
      <c r="W8" s="229"/>
      <c r="X8" s="229"/>
      <c r="Y8" s="230"/>
      <c r="Z8" s="74"/>
    </row>
    <row r="9" spans="1:26" ht="14.25" customHeight="1">
      <c r="A9" s="267"/>
      <c r="B9" s="226"/>
      <c r="C9" s="226"/>
      <c r="D9" s="226"/>
      <c r="E9" s="227"/>
      <c r="F9" s="76">
        <v>1</v>
      </c>
      <c r="G9" s="259" t="s">
        <v>235</v>
      </c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60">
        <f>'Workings Income from Rent'!B4</f>
        <v>5000000</v>
      </c>
      <c r="S9" s="203"/>
      <c r="T9" s="203"/>
      <c r="U9" s="199"/>
      <c r="V9" s="251" t="s">
        <v>20</v>
      </c>
      <c r="W9" s="203"/>
      <c r="X9" s="203"/>
      <c r="Y9" s="199"/>
      <c r="Z9" s="74"/>
    </row>
    <row r="10" spans="1:26" ht="14.25" customHeight="1">
      <c r="A10" s="215"/>
      <c r="B10" s="198"/>
      <c r="C10" s="198"/>
      <c r="D10" s="198"/>
      <c r="E10" s="212"/>
      <c r="F10" s="15">
        <f t="shared" ref="F10:F15" si="0">F9+1</f>
        <v>2</v>
      </c>
      <c r="G10" s="261" t="s">
        <v>236</v>
      </c>
      <c r="H10" s="203"/>
      <c r="I10" s="203"/>
      <c r="J10" s="203"/>
      <c r="K10" s="203"/>
      <c r="L10" s="203"/>
      <c r="M10" s="203"/>
      <c r="N10" s="203"/>
      <c r="O10" s="203"/>
      <c r="P10" s="203"/>
      <c r="Q10" s="199"/>
      <c r="R10" s="251"/>
      <c r="S10" s="203"/>
      <c r="T10" s="203"/>
      <c r="U10" s="199"/>
      <c r="V10" s="251"/>
      <c r="W10" s="203"/>
      <c r="X10" s="203"/>
      <c r="Y10" s="199"/>
      <c r="Z10" s="74"/>
    </row>
    <row r="11" spans="1:26" ht="14.25" customHeight="1">
      <c r="A11" s="215"/>
      <c r="B11" s="198"/>
      <c r="C11" s="198"/>
      <c r="D11" s="198"/>
      <c r="E11" s="212"/>
      <c r="F11" s="15">
        <f t="shared" si="0"/>
        <v>3</v>
      </c>
      <c r="G11" s="261" t="s">
        <v>237</v>
      </c>
      <c r="H11" s="203"/>
      <c r="I11" s="203"/>
      <c r="J11" s="203"/>
      <c r="K11" s="203"/>
      <c r="L11" s="203"/>
      <c r="M11" s="203"/>
      <c r="N11" s="203"/>
      <c r="O11" s="203"/>
      <c r="P11" s="203"/>
      <c r="Q11" s="199"/>
      <c r="R11" s="251"/>
      <c r="S11" s="203"/>
      <c r="T11" s="203"/>
      <c r="U11" s="199"/>
      <c r="V11" s="251"/>
      <c r="W11" s="203"/>
      <c r="X11" s="203"/>
      <c r="Y11" s="199"/>
      <c r="Z11" s="74"/>
    </row>
    <row r="12" spans="1:26" ht="14.25" customHeight="1">
      <c r="A12" s="215"/>
      <c r="B12" s="198"/>
      <c r="C12" s="198"/>
      <c r="D12" s="198"/>
      <c r="E12" s="212"/>
      <c r="F12" s="15">
        <f t="shared" si="0"/>
        <v>4</v>
      </c>
      <c r="G12" s="261" t="s">
        <v>238</v>
      </c>
      <c r="H12" s="203"/>
      <c r="I12" s="203"/>
      <c r="J12" s="203"/>
      <c r="K12" s="203"/>
      <c r="L12" s="203"/>
      <c r="M12" s="203"/>
      <c r="N12" s="203"/>
      <c r="O12" s="203"/>
      <c r="P12" s="203"/>
      <c r="Q12" s="199"/>
      <c r="R12" s="251"/>
      <c r="S12" s="203"/>
      <c r="T12" s="203"/>
      <c r="U12" s="199"/>
      <c r="V12" s="251"/>
      <c r="W12" s="203"/>
      <c r="X12" s="203"/>
      <c r="Y12" s="199"/>
      <c r="Z12" s="74"/>
    </row>
    <row r="13" spans="1:26" ht="14.25" customHeight="1">
      <c r="A13" s="215"/>
      <c r="B13" s="198"/>
      <c r="C13" s="198"/>
      <c r="D13" s="198"/>
      <c r="E13" s="212"/>
      <c r="F13" s="15">
        <f t="shared" si="0"/>
        <v>5</v>
      </c>
      <c r="G13" s="261" t="s">
        <v>239</v>
      </c>
      <c r="H13" s="203"/>
      <c r="I13" s="203"/>
      <c r="J13" s="203"/>
      <c r="K13" s="203"/>
      <c r="L13" s="203"/>
      <c r="M13" s="203"/>
      <c r="N13" s="203"/>
      <c r="O13" s="203"/>
      <c r="P13" s="203"/>
      <c r="Q13" s="199"/>
      <c r="R13" s="260">
        <f>'Workings Income from Rent'!B8</f>
        <v>80000</v>
      </c>
      <c r="S13" s="203"/>
      <c r="T13" s="203"/>
      <c r="U13" s="199"/>
      <c r="V13" s="251"/>
      <c r="W13" s="203"/>
      <c r="X13" s="203"/>
      <c r="Y13" s="199"/>
      <c r="Z13" s="78"/>
    </row>
    <row r="14" spans="1:26" ht="14.25" customHeight="1">
      <c r="A14" s="215"/>
      <c r="B14" s="198"/>
      <c r="C14" s="198"/>
      <c r="D14" s="198"/>
      <c r="E14" s="212"/>
      <c r="F14" s="15">
        <f t="shared" si="0"/>
        <v>6</v>
      </c>
      <c r="G14" s="261" t="s">
        <v>240</v>
      </c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199"/>
      <c r="V14" s="262">
        <f>R9+R10+R11-R12-R13</f>
        <v>4920000</v>
      </c>
      <c r="W14" s="203"/>
      <c r="X14" s="203"/>
      <c r="Y14" s="199"/>
      <c r="Z14" s="74"/>
    </row>
    <row r="15" spans="1:26" ht="14.25" customHeight="1">
      <c r="A15" s="215"/>
      <c r="B15" s="198"/>
      <c r="C15" s="198"/>
      <c r="D15" s="198"/>
      <c r="E15" s="212"/>
      <c r="F15" s="236">
        <f t="shared" si="0"/>
        <v>7</v>
      </c>
      <c r="G15" s="261" t="s">
        <v>241</v>
      </c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199"/>
      <c r="V15" s="268">
        <f>SUM(R16:U21)</f>
        <v>1283000</v>
      </c>
      <c r="W15" s="226"/>
      <c r="X15" s="226"/>
      <c r="Y15" s="227"/>
      <c r="Z15" s="74"/>
    </row>
    <row r="16" spans="1:26" ht="14.25" customHeight="1">
      <c r="A16" s="215"/>
      <c r="B16" s="198"/>
      <c r="C16" s="198"/>
      <c r="D16" s="198"/>
      <c r="E16" s="212"/>
      <c r="F16" s="273"/>
      <c r="G16" s="79" t="s">
        <v>242</v>
      </c>
      <c r="H16" s="259" t="s">
        <v>243</v>
      </c>
      <c r="I16" s="203"/>
      <c r="J16" s="203"/>
      <c r="K16" s="203"/>
      <c r="L16" s="203"/>
      <c r="M16" s="203"/>
      <c r="N16" s="203"/>
      <c r="O16" s="203"/>
      <c r="P16" s="203"/>
      <c r="Q16" s="199"/>
      <c r="R16" s="251">
        <f>V14*0.25</f>
        <v>1230000</v>
      </c>
      <c r="S16" s="203"/>
      <c r="T16" s="203"/>
      <c r="U16" s="199"/>
      <c r="V16" s="215"/>
      <c r="W16" s="198"/>
      <c r="X16" s="198"/>
      <c r="Y16" s="212"/>
      <c r="Z16" s="74"/>
    </row>
    <row r="17" spans="1:26" ht="14.25" customHeight="1">
      <c r="A17" s="215"/>
      <c r="B17" s="198"/>
      <c r="C17" s="198"/>
      <c r="D17" s="198"/>
      <c r="E17" s="212"/>
      <c r="F17" s="273"/>
      <c r="G17" s="80" t="s">
        <v>244</v>
      </c>
      <c r="H17" s="263" t="s">
        <v>245</v>
      </c>
      <c r="I17" s="198"/>
      <c r="J17" s="198"/>
      <c r="K17" s="198"/>
      <c r="L17" s="198"/>
      <c r="M17" s="198"/>
      <c r="N17" s="198"/>
      <c r="O17" s="198"/>
      <c r="P17" s="198"/>
      <c r="Q17" s="212"/>
      <c r="R17" s="251">
        <f>12*2000</f>
        <v>24000</v>
      </c>
      <c r="S17" s="203"/>
      <c r="T17" s="203"/>
      <c r="U17" s="199"/>
      <c r="V17" s="215"/>
      <c r="W17" s="198"/>
      <c r="X17" s="198"/>
      <c r="Y17" s="212"/>
      <c r="Z17" s="74"/>
    </row>
    <row r="18" spans="1:26" ht="14.25" customHeight="1">
      <c r="A18" s="215"/>
      <c r="B18" s="198"/>
      <c r="C18" s="198"/>
      <c r="D18" s="198"/>
      <c r="E18" s="212"/>
      <c r="F18" s="273"/>
      <c r="G18" s="77" t="s">
        <v>246</v>
      </c>
      <c r="H18" s="259" t="s">
        <v>247</v>
      </c>
      <c r="I18" s="203"/>
      <c r="J18" s="203"/>
      <c r="K18" s="203"/>
      <c r="L18" s="203"/>
      <c r="M18" s="203"/>
      <c r="N18" s="203"/>
      <c r="O18" s="203"/>
      <c r="P18" s="203"/>
      <c r="Q18" s="199"/>
      <c r="R18" s="251"/>
      <c r="S18" s="203"/>
      <c r="T18" s="203"/>
      <c r="U18" s="199"/>
      <c r="V18" s="215"/>
      <c r="W18" s="198"/>
      <c r="X18" s="198"/>
      <c r="Y18" s="212"/>
      <c r="Z18" s="74"/>
    </row>
    <row r="19" spans="1:26" ht="14.25" customHeight="1">
      <c r="A19" s="215"/>
      <c r="B19" s="198"/>
      <c r="C19" s="198"/>
      <c r="D19" s="198"/>
      <c r="E19" s="212"/>
      <c r="F19" s="273"/>
      <c r="G19" s="80" t="s">
        <v>248</v>
      </c>
      <c r="H19" s="263" t="s">
        <v>249</v>
      </c>
      <c r="I19" s="198"/>
      <c r="J19" s="198"/>
      <c r="K19" s="198"/>
      <c r="L19" s="198"/>
      <c r="M19" s="198"/>
      <c r="N19" s="198"/>
      <c r="O19" s="198"/>
      <c r="P19" s="198"/>
      <c r="Q19" s="212"/>
      <c r="R19" s="251">
        <v>5000</v>
      </c>
      <c r="S19" s="203"/>
      <c r="T19" s="203"/>
      <c r="U19" s="199"/>
      <c r="V19" s="215"/>
      <c r="W19" s="198"/>
      <c r="X19" s="198"/>
      <c r="Y19" s="212"/>
      <c r="Z19" s="74"/>
    </row>
    <row r="20" spans="1:26" ht="14.25" customHeight="1">
      <c r="A20" s="215"/>
      <c r="B20" s="198"/>
      <c r="C20" s="198"/>
      <c r="D20" s="198"/>
      <c r="E20" s="212"/>
      <c r="F20" s="273"/>
      <c r="G20" s="77" t="s">
        <v>250</v>
      </c>
      <c r="H20" s="259" t="s">
        <v>251</v>
      </c>
      <c r="I20" s="203"/>
      <c r="J20" s="203"/>
      <c r="K20" s="203"/>
      <c r="L20" s="203"/>
      <c r="M20" s="203"/>
      <c r="N20" s="203"/>
      <c r="O20" s="203"/>
      <c r="P20" s="203"/>
      <c r="Q20" s="199"/>
      <c r="R20" s="251">
        <f>5000*4</f>
        <v>20000</v>
      </c>
      <c r="S20" s="203"/>
      <c r="T20" s="203"/>
      <c r="U20" s="199"/>
      <c r="V20" s="215"/>
      <c r="W20" s="198"/>
      <c r="X20" s="198"/>
      <c r="Y20" s="212"/>
      <c r="Z20" s="74"/>
    </row>
    <row r="21" spans="1:26" ht="14.25" customHeight="1">
      <c r="A21" s="215"/>
      <c r="B21" s="198"/>
      <c r="C21" s="198"/>
      <c r="D21" s="198"/>
      <c r="E21" s="212"/>
      <c r="F21" s="237"/>
      <c r="G21" s="79" t="s">
        <v>252</v>
      </c>
      <c r="H21" s="269" t="s">
        <v>253</v>
      </c>
      <c r="I21" s="229"/>
      <c r="J21" s="229"/>
      <c r="K21" s="229"/>
      <c r="L21" s="229"/>
      <c r="M21" s="229"/>
      <c r="N21" s="229"/>
      <c r="O21" s="229"/>
      <c r="P21" s="229"/>
      <c r="Q21" s="230"/>
      <c r="R21" s="251">
        <f>'Workings Income from Rent'!B11</f>
        <v>4000</v>
      </c>
      <c r="S21" s="203"/>
      <c r="T21" s="203"/>
      <c r="U21" s="199"/>
      <c r="V21" s="228"/>
      <c r="W21" s="229"/>
      <c r="X21" s="229"/>
      <c r="Y21" s="230"/>
      <c r="Z21" s="74"/>
    </row>
    <row r="22" spans="1:26" ht="14.25" customHeight="1">
      <c r="A22" s="215"/>
      <c r="B22" s="198"/>
      <c r="C22" s="198"/>
      <c r="D22" s="198"/>
      <c r="E22" s="212"/>
      <c r="F22" s="15">
        <f>F15+1</f>
        <v>8</v>
      </c>
      <c r="G22" s="259" t="s">
        <v>254</v>
      </c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199"/>
      <c r="V22" s="270">
        <f>SUM(R16:U21)</f>
        <v>1283000</v>
      </c>
      <c r="W22" s="203"/>
      <c r="X22" s="203"/>
      <c r="Y22" s="199"/>
      <c r="Z22" s="74"/>
    </row>
    <row r="23" spans="1:26" ht="14.25" customHeight="1">
      <c r="A23" s="215"/>
      <c r="B23" s="198"/>
      <c r="C23" s="198"/>
      <c r="D23" s="198"/>
      <c r="E23" s="212"/>
      <c r="F23" s="15">
        <f t="shared" ref="F23:F24" si="1">F22+1</f>
        <v>9</v>
      </c>
      <c r="G23" s="259" t="s">
        <v>255</v>
      </c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199"/>
      <c r="V23" s="271">
        <f>V14-V22</f>
        <v>3637000</v>
      </c>
      <c r="W23" s="203"/>
      <c r="X23" s="203"/>
      <c r="Y23" s="199"/>
      <c r="Z23" s="74"/>
    </row>
    <row r="24" spans="1:26" ht="14.25" customHeight="1">
      <c r="A24" s="228"/>
      <c r="B24" s="229"/>
      <c r="C24" s="229"/>
      <c r="D24" s="229"/>
      <c r="E24" s="230"/>
      <c r="F24" s="15">
        <f t="shared" si="1"/>
        <v>10</v>
      </c>
      <c r="G24" s="259" t="s">
        <v>256</v>
      </c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199"/>
      <c r="V24" s="272"/>
      <c r="W24" s="203"/>
      <c r="X24" s="203"/>
      <c r="Y24" s="199"/>
      <c r="Z24" s="74"/>
    </row>
    <row r="25" spans="1:26" ht="14.25" customHeight="1">
      <c r="A25" s="75"/>
      <c r="B25" s="74"/>
      <c r="C25" s="74"/>
      <c r="D25" s="74"/>
      <c r="E25" s="74"/>
      <c r="F25" s="81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3"/>
      <c r="W25" s="83"/>
      <c r="X25" s="83"/>
      <c r="Y25" s="83"/>
      <c r="Z25" s="74"/>
    </row>
    <row r="26" spans="1:26" ht="14.25" customHeight="1">
      <c r="A26" s="201" t="s">
        <v>257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4"/>
      <c r="Y26" s="70"/>
      <c r="Z26" s="70"/>
    </row>
    <row r="27" spans="1:26" ht="14.25" customHeight="1">
      <c r="A27" s="217" t="s">
        <v>258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3"/>
      <c r="Y27" s="70"/>
      <c r="Z27" s="70"/>
    </row>
    <row r="28" spans="1:26" ht="14.25" customHeight="1">
      <c r="A28" s="21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4.25" customHeight="1">
      <c r="A29" s="16" t="s">
        <v>16</v>
      </c>
      <c r="B29" s="6"/>
      <c r="C29" s="3"/>
      <c r="D29" s="3"/>
      <c r="E29" s="3"/>
      <c r="F29" s="3"/>
      <c r="G29" s="222" t="str">
        <f>G4</f>
        <v>Samiul Bashar</v>
      </c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0"/>
      <c r="Y29" s="10"/>
      <c r="Z29" s="70"/>
    </row>
    <row r="30" spans="1:26" ht="14.25" customHeight="1">
      <c r="A30" s="71"/>
      <c r="B30" s="54"/>
      <c r="C30" s="54"/>
      <c r="D30" s="54"/>
      <c r="E30" s="54"/>
      <c r="F30" s="54"/>
      <c r="G30" s="54"/>
      <c r="H30" s="54"/>
      <c r="I30" s="4" t="s">
        <v>53</v>
      </c>
      <c r="J30" s="4"/>
      <c r="K30" s="31">
        <f t="shared" ref="K30:V30" si="2">K5</f>
        <v>1</v>
      </c>
      <c r="L30" s="31">
        <f t="shared" si="2"/>
        <v>2</v>
      </c>
      <c r="M30" s="31">
        <f t="shared" si="2"/>
        <v>3</v>
      </c>
      <c r="N30" s="32" t="str">
        <f t="shared" si="2"/>
        <v>-</v>
      </c>
      <c r="O30" s="31">
        <f t="shared" si="2"/>
        <v>4</v>
      </c>
      <c r="P30" s="31">
        <f t="shared" si="2"/>
        <v>5</v>
      </c>
      <c r="Q30" s="31">
        <f t="shared" si="2"/>
        <v>6</v>
      </c>
      <c r="R30" s="32" t="str">
        <f t="shared" si="2"/>
        <v>-</v>
      </c>
      <c r="S30" s="31">
        <f t="shared" si="2"/>
        <v>7</v>
      </c>
      <c r="T30" s="31">
        <f t="shared" si="2"/>
        <v>8</v>
      </c>
      <c r="U30" s="31">
        <f t="shared" si="2"/>
        <v>9</v>
      </c>
      <c r="V30" s="55">
        <f t="shared" si="2"/>
        <v>0</v>
      </c>
      <c r="W30" s="70"/>
      <c r="X30" s="70"/>
      <c r="Y30" s="70"/>
      <c r="Z30" s="70"/>
    </row>
    <row r="31" spans="1:26" ht="14.25" customHeight="1">
      <c r="A31" s="75"/>
      <c r="B31" s="74"/>
      <c r="C31" s="74"/>
      <c r="D31" s="74"/>
      <c r="E31" s="74"/>
      <c r="F31" s="11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84"/>
      <c r="W31" s="84"/>
      <c r="X31" s="84"/>
      <c r="Y31" s="84"/>
      <c r="Z31" s="74"/>
    </row>
    <row r="32" spans="1:26" ht="14.25" customHeight="1">
      <c r="A32" s="85" t="s">
        <v>259</v>
      </c>
      <c r="B32" s="74"/>
      <c r="C32" s="74"/>
      <c r="D32" s="74"/>
      <c r="E32" s="74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84"/>
      <c r="W32" s="84"/>
      <c r="X32" s="84"/>
      <c r="Y32" s="84"/>
      <c r="Z32" s="74"/>
    </row>
    <row r="33" spans="1:26" ht="14.25" customHeight="1">
      <c r="A33" s="85"/>
      <c r="B33" s="74"/>
      <c r="C33" s="74"/>
      <c r="D33" s="74"/>
      <c r="E33" s="74"/>
      <c r="F33" s="11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84"/>
      <c r="W33" s="84"/>
      <c r="X33" s="84"/>
      <c r="Y33" s="84"/>
      <c r="Z33" s="74"/>
    </row>
    <row r="34" spans="1:26" ht="14.25" customHeight="1">
      <c r="A34" s="86"/>
      <c r="B34" s="278" t="s">
        <v>260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199"/>
      <c r="U34" s="279" t="s">
        <v>68</v>
      </c>
      <c r="V34" s="203"/>
      <c r="W34" s="203"/>
      <c r="X34" s="203"/>
      <c r="Y34" s="199"/>
      <c r="Z34" s="74"/>
    </row>
    <row r="35" spans="1:26" ht="14.25" customHeight="1">
      <c r="A35" s="88">
        <v>1</v>
      </c>
      <c r="B35" s="18" t="s">
        <v>261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19"/>
      <c r="U35" s="280">
        <f>'Workings Income from Agricultur'!D8</f>
        <v>400000</v>
      </c>
      <c r="V35" s="203"/>
      <c r="W35" s="203"/>
      <c r="X35" s="203"/>
      <c r="Y35" s="199"/>
      <c r="Z35" s="74"/>
    </row>
    <row r="36" spans="1:26" ht="14.25" customHeight="1">
      <c r="A36" s="88">
        <v>2</v>
      </c>
      <c r="B36" s="18" t="s">
        <v>262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19"/>
      <c r="U36" s="280">
        <f>'Workings Income from Agricultur'!D8-'Workings Income from Agricultur'!D15</f>
        <v>255000</v>
      </c>
      <c r="V36" s="203"/>
      <c r="W36" s="203"/>
      <c r="X36" s="203"/>
      <c r="Y36" s="199"/>
      <c r="Z36" s="74"/>
    </row>
    <row r="37" spans="1:26" ht="14.25" customHeight="1">
      <c r="A37" s="274">
        <v>3</v>
      </c>
      <c r="B37" s="275" t="s">
        <v>263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212"/>
      <c r="U37" s="276">
        <f>'Workings Income from Agricultur'!D21</f>
        <v>29000</v>
      </c>
      <c r="V37" s="226"/>
      <c r="W37" s="226"/>
      <c r="X37" s="226"/>
      <c r="Y37" s="227"/>
      <c r="Z37" s="74"/>
    </row>
    <row r="38" spans="1:26" ht="14.25" customHeight="1">
      <c r="A38" s="237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212"/>
      <c r="U38" s="228"/>
      <c r="V38" s="229"/>
      <c r="W38" s="229"/>
      <c r="X38" s="229"/>
      <c r="Y38" s="230"/>
      <c r="Z38" s="74"/>
    </row>
    <row r="39" spans="1:26" ht="14.25" customHeight="1">
      <c r="A39" s="88">
        <v>4</v>
      </c>
      <c r="B39" s="90" t="s">
        <v>264</v>
      </c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/>
      <c r="Q39" s="87"/>
      <c r="R39" s="94"/>
      <c r="S39" s="94"/>
      <c r="T39" s="95"/>
      <c r="U39" s="277">
        <f>U36-U37</f>
        <v>226000</v>
      </c>
      <c r="V39" s="203"/>
      <c r="W39" s="203"/>
      <c r="X39" s="203"/>
      <c r="Y39" s="199"/>
      <c r="Z39" s="70"/>
    </row>
    <row r="40" spans="1:26" ht="14.2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97"/>
      <c r="S40" s="97"/>
      <c r="T40" s="97"/>
      <c r="U40" s="97"/>
      <c r="V40" s="97"/>
      <c r="W40" s="97"/>
      <c r="X40" s="97"/>
      <c r="Y40" s="97"/>
      <c r="Z40" s="70"/>
    </row>
    <row r="41" spans="1:26" ht="14.25" customHeight="1">
      <c r="A41" s="98"/>
      <c r="B41" s="99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4.25" customHeight="1">
      <c r="A42" s="100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4.25" customHeight="1">
      <c r="A43" s="100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4.25" customHeight="1">
      <c r="A44" s="100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4.25" customHeight="1">
      <c r="A45" s="100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4.25" customHeight="1">
      <c r="A46" s="100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4.25" customHeight="1">
      <c r="A47" s="100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4.25" customHeight="1">
      <c r="A48" s="100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4.25" customHeight="1">
      <c r="A49" s="100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4.25" customHeight="1">
      <c r="A50" s="100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4.25" customHeight="1">
      <c r="A51" s="100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4.25" customHeight="1">
      <c r="A52" s="100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4.25" customHeight="1">
      <c r="A53" s="100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4.25" customHeight="1">
      <c r="A54" s="100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4.25" customHeight="1">
      <c r="A55" s="100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4.25" customHeight="1">
      <c r="A56" s="100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4.25" customHeight="1">
      <c r="A57" s="100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4.25" customHeight="1">
      <c r="A58" s="100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4.25" customHeight="1">
      <c r="A59" s="100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4.25" customHeight="1">
      <c r="A60" s="100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4.25" customHeight="1">
      <c r="A61" s="100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4.25" customHeight="1">
      <c r="A62" s="100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4.25" customHeight="1">
      <c r="A63" s="100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4.25" customHeight="1">
      <c r="A64" s="100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4.25" customHeight="1">
      <c r="A65" s="100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4.25" customHeight="1">
      <c r="A66" s="100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4.25" customHeight="1">
      <c r="A67" s="10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4.25" customHeight="1">
      <c r="A68" s="100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4.25" customHeight="1">
      <c r="A69" s="100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4.25" customHeight="1">
      <c r="A70" s="100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4.25" customHeight="1">
      <c r="A71" s="100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4.25" customHeight="1">
      <c r="A72" s="100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4.25" customHeight="1">
      <c r="A73" s="100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4.25" customHeight="1">
      <c r="A74" s="100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4.25" customHeight="1">
      <c r="A75" s="100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4.25" customHeight="1">
      <c r="A76" s="100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4.25" customHeight="1">
      <c r="A77" s="100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4.25" customHeight="1">
      <c r="A78" s="100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4.25" customHeight="1">
      <c r="A79" s="100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4.25" customHeight="1">
      <c r="A80" s="100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4.25" customHeight="1">
      <c r="A81" s="100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4.25" customHeight="1">
      <c r="A82" s="100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4.25" customHeight="1">
      <c r="A83" s="100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4.25" customHeight="1">
      <c r="A84" s="100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4.25" customHeight="1">
      <c r="A85" s="100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4.25" customHeight="1">
      <c r="A86" s="100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4.25" customHeight="1">
      <c r="A87" s="100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4.25" customHeight="1">
      <c r="A88" s="100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4.25" customHeight="1">
      <c r="A89" s="100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4.25" customHeight="1">
      <c r="A90" s="100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4.25" customHeight="1">
      <c r="A91" s="100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4.25" customHeight="1">
      <c r="A92" s="100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4.25" customHeight="1">
      <c r="A93" s="100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4.25" customHeight="1">
      <c r="A94" s="100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4.25" customHeight="1">
      <c r="A95" s="100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4.25" customHeight="1">
      <c r="A96" s="100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4.25" customHeight="1">
      <c r="A97" s="100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4.25" customHeight="1">
      <c r="A98" s="100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4.25" customHeight="1">
      <c r="A99" s="100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4.25" customHeight="1">
      <c r="A100" s="100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4.25" customHeight="1">
      <c r="A101" s="100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4.25" customHeight="1">
      <c r="A102" s="100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4.25" customHeight="1">
      <c r="A103" s="100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4.25" customHeight="1">
      <c r="A104" s="100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4.25" customHeight="1">
      <c r="A105" s="100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4.25" customHeight="1">
      <c r="A106" s="100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4.25" customHeight="1">
      <c r="A107" s="100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4.25" customHeight="1">
      <c r="A108" s="100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4.25" customHeight="1">
      <c r="A109" s="100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4.25" customHeight="1">
      <c r="A110" s="100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4.25" customHeight="1">
      <c r="A111" s="100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4.25" customHeight="1">
      <c r="A112" s="100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4.25" customHeight="1">
      <c r="A113" s="100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4.25" customHeight="1">
      <c r="A114" s="100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4.25" customHeight="1">
      <c r="A115" s="100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4.25" customHeight="1">
      <c r="A116" s="100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4.25" customHeight="1">
      <c r="A117" s="100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4.25" customHeight="1">
      <c r="A118" s="100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4.25" customHeight="1">
      <c r="A119" s="100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4.25" customHeight="1">
      <c r="A120" s="100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4.25" customHeight="1">
      <c r="A121" s="100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4.25" customHeight="1">
      <c r="A122" s="100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4.25" customHeight="1">
      <c r="A123" s="100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4.25" customHeight="1">
      <c r="A124" s="100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4.25" customHeight="1">
      <c r="A125" s="100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4.25" customHeight="1">
      <c r="A126" s="100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4.25" customHeight="1">
      <c r="A127" s="100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4.25" customHeight="1">
      <c r="A128" s="100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4.25" customHeight="1">
      <c r="A129" s="100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4.25" customHeight="1">
      <c r="A130" s="100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4.25" customHeight="1">
      <c r="A131" s="100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4.25" customHeight="1">
      <c r="A132" s="100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4.25" customHeight="1">
      <c r="A133" s="100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4.25" customHeight="1">
      <c r="A134" s="100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4.25" customHeight="1">
      <c r="A135" s="100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4.25" customHeight="1">
      <c r="A136" s="100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4.25" customHeight="1">
      <c r="A137" s="100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4.25" customHeight="1">
      <c r="A138" s="100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4.25" customHeight="1">
      <c r="A139" s="100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4.25" customHeight="1">
      <c r="A140" s="100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4.25" customHeight="1">
      <c r="A141" s="100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4.25" customHeight="1">
      <c r="A142" s="100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4.25" customHeight="1">
      <c r="A143" s="100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4.25" customHeight="1">
      <c r="A144" s="100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4.25" customHeight="1">
      <c r="A145" s="100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4.25" customHeight="1">
      <c r="A146" s="100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4.25" customHeight="1">
      <c r="A147" s="100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4.25" customHeight="1">
      <c r="A148" s="100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4.25" customHeight="1">
      <c r="A149" s="100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4.25" customHeight="1">
      <c r="A150" s="100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4.25" customHeight="1">
      <c r="A151" s="100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4.25" customHeight="1">
      <c r="A152" s="10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4.25" customHeight="1">
      <c r="A153" s="100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4.25" customHeight="1">
      <c r="A154" s="100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4.25" customHeight="1">
      <c r="A155" s="100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4.25" customHeight="1">
      <c r="A156" s="100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4.25" customHeight="1">
      <c r="A157" s="100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4.25" customHeight="1">
      <c r="A158" s="100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4.25" customHeight="1">
      <c r="A159" s="100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4.25" customHeight="1">
      <c r="A160" s="100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4.25" customHeight="1">
      <c r="A161" s="100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4.25" customHeight="1">
      <c r="A162" s="100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4.25" customHeight="1">
      <c r="A163" s="100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4.25" customHeight="1">
      <c r="A164" s="100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4.25" customHeight="1">
      <c r="A165" s="100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4.25" customHeight="1">
      <c r="A166" s="100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4.25" customHeight="1">
      <c r="A167" s="100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4.25" customHeight="1">
      <c r="A168" s="100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4.25" customHeight="1">
      <c r="A169" s="100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4.25" customHeight="1">
      <c r="A170" s="100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4.25" customHeight="1">
      <c r="A171" s="100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4.25" customHeight="1">
      <c r="A172" s="100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4.25" customHeight="1">
      <c r="A173" s="100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4.25" customHeight="1">
      <c r="A174" s="100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4.25" customHeight="1">
      <c r="A175" s="100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4.25" customHeight="1">
      <c r="A176" s="100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4.25" customHeight="1">
      <c r="A177" s="100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4.25" customHeight="1">
      <c r="A178" s="100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4.25" customHeight="1">
      <c r="A179" s="100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4.25" customHeight="1">
      <c r="A180" s="100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4.25" customHeight="1">
      <c r="A181" s="100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4.25" customHeight="1">
      <c r="A182" s="100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4.25" customHeight="1">
      <c r="A183" s="100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4.25" customHeight="1">
      <c r="A184" s="100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4.25" customHeight="1">
      <c r="A185" s="100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4.25" customHeight="1">
      <c r="A186" s="100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4.25" customHeight="1">
      <c r="A187" s="100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4.25" customHeight="1">
      <c r="A188" s="100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4.25" customHeight="1">
      <c r="A189" s="100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4.25" customHeight="1">
      <c r="A190" s="100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4.25" customHeight="1">
      <c r="A191" s="100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4.25" customHeight="1">
      <c r="A192" s="100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4.25" customHeight="1">
      <c r="A193" s="100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4.25" customHeight="1">
      <c r="A194" s="100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4.25" customHeight="1">
      <c r="A195" s="100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4.25" customHeight="1">
      <c r="A196" s="100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4.25" customHeight="1">
      <c r="A197" s="100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4.25" customHeight="1">
      <c r="A198" s="100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4.25" customHeight="1">
      <c r="A199" s="100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4.25" customHeight="1">
      <c r="A200" s="100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4.25" customHeight="1">
      <c r="A201" s="100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4.25" customHeight="1">
      <c r="A202" s="100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4.25" customHeight="1">
      <c r="A203" s="100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4.25" customHeight="1">
      <c r="A204" s="100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4.25" customHeight="1">
      <c r="A205" s="100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4.25" customHeight="1">
      <c r="A206" s="100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4.25" customHeight="1">
      <c r="A207" s="100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4.25" customHeight="1">
      <c r="A208" s="100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4.25" customHeight="1">
      <c r="A209" s="100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4.25" customHeight="1">
      <c r="A210" s="100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4.25" customHeight="1">
      <c r="A211" s="100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4.25" customHeight="1">
      <c r="A212" s="100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4.25" customHeight="1">
      <c r="A213" s="100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4.25" customHeight="1">
      <c r="A214" s="100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4.25" customHeight="1">
      <c r="A215" s="100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4.25" customHeight="1">
      <c r="A216" s="100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4.25" customHeight="1">
      <c r="A217" s="100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4.25" customHeight="1">
      <c r="A218" s="100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4.25" customHeight="1">
      <c r="A219" s="100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4.25" customHeight="1">
      <c r="A220" s="100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4.25" customHeight="1">
      <c r="A221" s="100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4.25" customHeight="1">
      <c r="A222" s="100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4.25" customHeight="1">
      <c r="A223" s="100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4.25" customHeight="1">
      <c r="A224" s="100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4.25" customHeight="1">
      <c r="A225" s="100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4.25" customHeight="1">
      <c r="A226" s="100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4.25" customHeight="1">
      <c r="A227" s="100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4.25" customHeight="1">
      <c r="A228" s="100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4.25" customHeight="1">
      <c r="A229" s="100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4.25" customHeight="1">
      <c r="A230" s="100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4.25" customHeight="1">
      <c r="A231" s="100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4.25" customHeight="1">
      <c r="A232" s="100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4.25" customHeight="1">
      <c r="A233" s="100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4.25" customHeight="1">
      <c r="A234" s="100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4.25" customHeight="1">
      <c r="A235" s="100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4.25" customHeight="1">
      <c r="A236" s="100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4.25" customHeight="1">
      <c r="A237" s="100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4.25" customHeight="1">
      <c r="A238" s="100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4.25" customHeight="1">
      <c r="A239" s="100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37:A38"/>
    <mergeCell ref="B37:T38"/>
    <mergeCell ref="U37:Y38"/>
    <mergeCell ref="U39:Y39"/>
    <mergeCell ref="A26:W26"/>
    <mergeCell ref="A27:W27"/>
    <mergeCell ref="G29:W29"/>
    <mergeCell ref="B34:T34"/>
    <mergeCell ref="U34:Y34"/>
    <mergeCell ref="U35:Y35"/>
    <mergeCell ref="U36:Y36"/>
    <mergeCell ref="A9:E24"/>
    <mergeCell ref="H18:Q18"/>
    <mergeCell ref="H19:Q19"/>
    <mergeCell ref="V15:Y21"/>
    <mergeCell ref="R19:U19"/>
    <mergeCell ref="R21:U21"/>
    <mergeCell ref="H20:Q20"/>
    <mergeCell ref="R20:U20"/>
    <mergeCell ref="H21:Q21"/>
    <mergeCell ref="G22:U22"/>
    <mergeCell ref="V22:Y22"/>
    <mergeCell ref="G23:U23"/>
    <mergeCell ref="V23:Y23"/>
    <mergeCell ref="G24:U24"/>
    <mergeCell ref="V24:Y24"/>
    <mergeCell ref="F15:F21"/>
    <mergeCell ref="A1:W1"/>
    <mergeCell ref="A2:W2"/>
    <mergeCell ref="G4:W4"/>
    <mergeCell ref="A7:E8"/>
    <mergeCell ref="R7:U8"/>
    <mergeCell ref="V7:Y8"/>
    <mergeCell ref="F7:Q8"/>
    <mergeCell ref="R18:U18"/>
    <mergeCell ref="G13:Q13"/>
    <mergeCell ref="R13:U13"/>
    <mergeCell ref="V13:Y13"/>
    <mergeCell ref="G14:U14"/>
    <mergeCell ref="V14:Y14"/>
    <mergeCell ref="G15:U15"/>
    <mergeCell ref="H16:Q16"/>
    <mergeCell ref="R16:U16"/>
    <mergeCell ref="H17:Q17"/>
    <mergeCell ref="R17:U17"/>
    <mergeCell ref="G11:Q11"/>
    <mergeCell ref="R11:U11"/>
    <mergeCell ref="V11:Y11"/>
    <mergeCell ref="G12:Q12"/>
    <mergeCell ref="R12:U12"/>
    <mergeCell ref="V12:Y12"/>
    <mergeCell ref="G9:Q9"/>
    <mergeCell ref="R9:U9"/>
    <mergeCell ref="V9:Y9"/>
    <mergeCell ref="G10:Q10"/>
    <mergeCell ref="R10:U10"/>
    <mergeCell ref="V10:Y10"/>
  </mergeCells>
  <conditionalFormatting sqref="G4">
    <cfRule type="containsBlanks" dxfId="5" priority="1" stopIfTrue="1">
      <formula>LEN(TRIM(G4))=0</formula>
    </cfRule>
  </conditionalFormatting>
  <conditionalFormatting sqref="G29">
    <cfRule type="containsBlanks" dxfId="4" priority="2" stopIfTrue="1">
      <formula>LEN(TRIM(G29))=0</formula>
    </cfRule>
  </conditionalFormatting>
  <pageMargins left="0.45" right="0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6"/>
  <sheetViews>
    <sheetView showGridLines="0" workbookViewId="0">
      <selection sqref="A1:XFD1048576"/>
    </sheetView>
  </sheetViews>
  <sheetFormatPr defaultColWidth="14.42578125" defaultRowHeight="15" customHeight="1"/>
  <cols>
    <col min="1" max="1" width="44" style="318" customWidth="1"/>
    <col min="2" max="16384" width="14.42578125" style="318"/>
  </cols>
  <sheetData>
    <row r="1" spans="1:2">
      <c r="A1" s="355" t="s">
        <v>265</v>
      </c>
      <c r="B1" s="356" t="s">
        <v>110</v>
      </c>
    </row>
    <row r="2" spans="1:2">
      <c r="A2" s="357" t="s">
        <v>266</v>
      </c>
      <c r="B2" s="358">
        <f>40000*12*2*5</f>
        <v>4800000</v>
      </c>
    </row>
    <row r="3" spans="1:2">
      <c r="A3" s="357" t="s">
        <v>267</v>
      </c>
      <c r="B3" s="358">
        <v>5000000</v>
      </c>
    </row>
    <row r="4" spans="1:2">
      <c r="A4" s="366" t="s">
        <v>268</v>
      </c>
      <c r="B4" s="386">
        <f>MAX(B2:B3)</f>
        <v>5000000</v>
      </c>
    </row>
    <row r="6" spans="1:2">
      <c r="A6" s="355" t="s">
        <v>269</v>
      </c>
      <c r="B6" s="356" t="s">
        <v>110</v>
      </c>
    </row>
    <row r="7" spans="1:2">
      <c r="A7" s="357" t="s">
        <v>270</v>
      </c>
      <c r="B7" s="358">
        <v>40000</v>
      </c>
    </row>
    <row r="8" spans="1:2">
      <c r="A8" s="366" t="s">
        <v>239</v>
      </c>
      <c r="B8" s="364">
        <f>B7*2</f>
        <v>80000</v>
      </c>
    </row>
    <row r="10" spans="1:2">
      <c r="A10" s="355" t="s">
        <v>271</v>
      </c>
      <c r="B10" s="356" t="s">
        <v>110</v>
      </c>
    </row>
    <row r="11" spans="1:2">
      <c r="A11" s="366" t="s">
        <v>272</v>
      </c>
      <c r="B11" s="364">
        <v>4000</v>
      </c>
    </row>
    <row r="26" spans="6:6">
      <c r="F26" s="19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3"/>
  <sheetViews>
    <sheetView showGridLines="0" workbookViewId="0">
      <selection sqref="A1:XFD1048576"/>
    </sheetView>
  </sheetViews>
  <sheetFormatPr defaultColWidth="14.42578125" defaultRowHeight="15" customHeight="1"/>
  <cols>
    <col min="1" max="16384" width="14.42578125" style="318"/>
  </cols>
  <sheetData>
    <row r="1" spans="1:4">
      <c r="A1" s="356" t="s">
        <v>273</v>
      </c>
      <c r="B1" s="387"/>
      <c r="C1" s="356" t="s">
        <v>110</v>
      </c>
      <c r="D1" s="356" t="s">
        <v>110</v>
      </c>
    </row>
    <row r="2" spans="1:4">
      <c r="A2" s="318" t="s">
        <v>274</v>
      </c>
      <c r="B2" s="388"/>
      <c r="C2" s="382">
        <f>100*500</f>
        <v>50000</v>
      </c>
      <c r="D2" s="382"/>
    </row>
    <row r="3" spans="1:4">
      <c r="A3" s="318" t="s">
        <v>275</v>
      </c>
      <c r="B3" s="388"/>
      <c r="C3" s="358">
        <f>200*700</f>
        <v>140000</v>
      </c>
      <c r="D3" s="358"/>
    </row>
    <row r="4" spans="1:4">
      <c r="A4" s="318" t="s">
        <v>276</v>
      </c>
      <c r="B4" s="388"/>
      <c r="C4" s="358">
        <v>80000</v>
      </c>
      <c r="D4" s="358"/>
    </row>
    <row r="5" spans="1:4">
      <c r="A5" s="318" t="s">
        <v>277</v>
      </c>
      <c r="B5" s="388"/>
      <c r="C5" s="358">
        <f>100000*60%</f>
        <v>60000</v>
      </c>
      <c r="D5" s="358"/>
    </row>
    <row r="6" spans="1:4">
      <c r="A6" s="318" t="s">
        <v>278</v>
      </c>
      <c r="B6" s="388"/>
      <c r="C6" s="358">
        <v>30000</v>
      </c>
      <c r="D6" s="358"/>
    </row>
    <row r="7" spans="1:4">
      <c r="A7" s="367" t="s">
        <v>279</v>
      </c>
      <c r="B7" s="389"/>
      <c r="C7" s="390">
        <v>40000</v>
      </c>
      <c r="D7" s="364"/>
    </row>
    <row r="8" spans="1:4">
      <c r="A8" s="319" t="s">
        <v>280</v>
      </c>
      <c r="B8" s="320"/>
      <c r="C8" s="383"/>
      <c r="D8" s="372">
        <f>SUM(C2:C7)</f>
        <v>400000</v>
      </c>
    </row>
    <row r="10" spans="1:4">
      <c r="A10" s="356" t="s">
        <v>281</v>
      </c>
      <c r="B10" s="190"/>
      <c r="C10" s="355" t="s">
        <v>110</v>
      </c>
      <c r="D10" s="356" t="s">
        <v>110</v>
      </c>
    </row>
    <row r="11" spans="1:4">
      <c r="A11" s="318" t="s">
        <v>282</v>
      </c>
      <c r="C11" s="373">
        <v>50000</v>
      </c>
      <c r="D11" s="358"/>
    </row>
    <row r="12" spans="1:4">
      <c r="A12" s="318" t="s">
        <v>283</v>
      </c>
      <c r="C12" s="373">
        <v>50000</v>
      </c>
      <c r="D12" s="358"/>
    </row>
    <row r="13" spans="1:4">
      <c r="A13" s="318" t="s">
        <v>284</v>
      </c>
      <c r="C13" s="373">
        <v>20000</v>
      </c>
      <c r="D13" s="358"/>
    </row>
    <row r="14" spans="1:4">
      <c r="A14" s="318" t="s">
        <v>285</v>
      </c>
      <c r="C14" s="391">
        <v>25000</v>
      </c>
      <c r="D14" s="358"/>
    </row>
    <row r="15" spans="1:4">
      <c r="A15" s="354" t="s">
        <v>286</v>
      </c>
      <c r="C15" s="373"/>
      <c r="D15" s="358">
        <f>SUM(C11:C14)</f>
        <v>145000</v>
      </c>
    </row>
    <row r="16" spans="1:4">
      <c r="A16" s="318" t="s">
        <v>287</v>
      </c>
      <c r="C16" s="373">
        <v>10000</v>
      </c>
      <c r="D16" s="358"/>
    </row>
    <row r="17" spans="1:4">
      <c r="A17" s="318" t="s">
        <v>288</v>
      </c>
      <c r="C17" s="373">
        <v>5000</v>
      </c>
      <c r="D17" s="358"/>
    </row>
    <row r="18" spans="1:4">
      <c r="A18" s="318" t="s">
        <v>289</v>
      </c>
      <c r="C18" s="373">
        <v>6000</v>
      </c>
      <c r="D18" s="358"/>
    </row>
    <row r="19" spans="1:4">
      <c r="A19" s="318" t="s">
        <v>290</v>
      </c>
      <c r="C19" s="373">
        <v>5000</v>
      </c>
      <c r="D19" s="358"/>
    </row>
    <row r="20" spans="1:4">
      <c r="A20" s="318" t="s">
        <v>291</v>
      </c>
      <c r="C20" s="391">
        <v>3000</v>
      </c>
      <c r="D20" s="358"/>
    </row>
    <row r="21" spans="1:4">
      <c r="A21" s="318" t="s">
        <v>292</v>
      </c>
      <c r="C21" s="373"/>
      <c r="D21" s="362">
        <f>SUM(C16:C20)</f>
        <v>29000</v>
      </c>
    </row>
    <row r="22" spans="1:4">
      <c r="A22" s="354" t="s">
        <v>293</v>
      </c>
      <c r="C22" s="373"/>
      <c r="D22" s="362">
        <f>D15+D21</f>
        <v>174000</v>
      </c>
    </row>
    <row r="23" spans="1:4">
      <c r="A23" s="392" t="s">
        <v>294</v>
      </c>
      <c r="B23" s="367"/>
      <c r="C23" s="393"/>
      <c r="D23" s="372">
        <f>D8-D22</f>
        <v>226000</v>
      </c>
    </row>
  </sheetData>
  <mergeCells count="1"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topLeftCell="A34" workbookViewId="0">
      <selection activeCell="AC17" sqref="AC17"/>
    </sheetView>
  </sheetViews>
  <sheetFormatPr defaultColWidth="14.42578125" defaultRowHeight="15" customHeight="1"/>
  <cols>
    <col min="1" max="22" width="3.85546875" customWidth="1"/>
    <col min="23" max="24" width="3.5703125" customWidth="1"/>
    <col min="25" max="26" width="9.140625" customWidth="1"/>
  </cols>
  <sheetData>
    <row r="1" spans="1:26" ht="14.25" customHeight="1">
      <c r="A1" s="201" t="s">
        <v>295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70"/>
      <c r="Z1" s="70"/>
    </row>
    <row r="2" spans="1:26" ht="14.25" customHeight="1">
      <c r="A2" s="217" t="s">
        <v>296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70"/>
      <c r="Z2" s="70"/>
    </row>
    <row r="3" spans="1:26" ht="14.25" customHeight="1">
      <c r="A3" s="21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4.25" customHeight="1">
      <c r="A4" s="16" t="s">
        <v>16</v>
      </c>
      <c r="B4" s="6"/>
      <c r="C4" s="3"/>
      <c r="D4" s="3"/>
      <c r="E4" s="3"/>
      <c r="F4" s="3"/>
      <c r="G4" s="210" t="str">
        <f>Return!H8</f>
        <v>Samiul Bashar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0"/>
      <c r="X4" s="10"/>
      <c r="Y4" s="70"/>
      <c r="Z4" s="70"/>
    </row>
    <row r="5" spans="1:26" ht="14.25" customHeight="1">
      <c r="A5" s="71"/>
      <c r="B5" s="54"/>
      <c r="C5" s="54"/>
      <c r="D5" s="54"/>
      <c r="E5" s="54"/>
      <c r="F5" s="54"/>
      <c r="G5" s="54"/>
      <c r="H5" s="70"/>
      <c r="I5" s="4"/>
      <c r="J5" s="4" t="s">
        <v>53</v>
      </c>
      <c r="K5" s="70"/>
      <c r="L5" s="31">
        <f>Return!D114</f>
        <v>1</v>
      </c>
      <c r="M5" s="31">
        <f>Return!E114</f>
        <v>2</v>
      </c>
      <c r="N5" s="31">
        <f>Return!F114</f>
        <v>3</v>
      </c>
      <c r="O5" s="32" t="str">
        <f>Return!G114</f>
        <v>-</v>
      </c>
      <c r="P5" s="31">
        <f>Return!H114</f>
        <v>4</v>
      </c>
      <c r="Q5" s="31">
        <f>Return!I114</f>
        <v>5</v>
      </c>
      <c r="R5" s="31">
        <f>Return!J114</f>
        <v>6</v>
      </c>
      <c r="S5" s="32" t="str">
        <f>Return!K114</f>
        <v>-</v>
      </c>
      <c r="T5" s="31">
        <f>Return!L114</f>
        <v>7</v>
      </c>
      <c r="U5" s="31">
        <f>Return!M114</f>
        <v>8</v>
      </c>
      <c r="V5" s="31">
        <f>Return!N114</f>
        <v>9</v>
      </c>
      <c r="W5" s="55">
        <f>Return!O114</f>
        <v>0</v>
      </c>
      <c r="X5" s="70"/>
      <c r="Y5" s="70"/>
      <c r="Z5" s="70"/>
    </row>
    <row r="6" spans="1:26" ht="12.75" customHeight="1">
      <c r="A6" s="71"/>
      <c r="B6" s="54"/>
      <c r="C6" s="54"/>
      <c r="D6" s="54"/>
      <c r="E6" s="54"/>
      <c r="F6" s="54"/>
      <c r="G6" s="54"/>
      <c r="H6" s="4"/>
      <c r="I6" s="4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70"/>
      <c r="W6" s="70"/>
      <c r="X6" s="70"/>
      <c r="Y6" s="70"/>
      <c r="Z6" s="70"/>
    </row>
    <row r="7" spans="1:26" ht="14.25" customHeight="1">
      <c r="A7" s="29" t="s">
        <v>297</v>
      </c>
      <c r="B7" s="54"/>
      <c r="C7" s="54"/>
      <c r="D7" s="54"/>
      <c r="E7" s="54"/>
      <c r="F7" s="54"/>
      <c r="G7" s="54"/>
      <c r="H7" s="4"/>
      <c r="I7" s="4"/>
      <c r="J7" s="56"/>
      <c r="K7" s="56"/>
      <c r="L7" s="70"/>
      <c r="M7" s="70"/>
      <c r="N7" s="70"/>
      <c r="O7" s="56"/>
      <c r="P7" s="56"/>
      <c r="Q7" s="56"/>
      <c r="R7" s="56"/>
      <c r="S7" s="56"/>
      <c r="T7" s="56"/>
      <c r="U7" s="56"/>
      <c r="V7" s="70"/>
      <c r="W7" s="70"/>
      <c r="X7" s="70"/>
      <c r="Y7" s="70"/>
      <c r="Z7" s="70"/>
    </row>
    <row r="8" spans="1:26" ht="14.25" customHeight="1">
      <c r="A8" s="70"/>
      <c r="B8" s="54"/>
      <c r="C8" s="54"/>
      <c r="D8" s="54"/>
      <c r="E8" s="54"/>
      <c r="F8" s="54"/>
      <c r="G8" s="54"/>
      <c r="H8" s="70"/>
      <c r="I8" s="4"/>
      <c r="J8" s="29" t="s">
        <v>298</v>
      </c>
      <c r="K8" s="56"/>
      <c r="L8" s="70"/>
      <c r="M8" s="29"/>
      <c r="N8" s="70"/>
      <c r="O8" s="56"/>
      <c r="P8" s="56"/>
      <c r="Q8" s="56"/>
      <c r="R8" s="56"/>
      <c r="S8" s="56"/>
      <c r="T8" s="56"/>
      <c r="U8" s="56"/>
      <c r="V8" s="70"/>
      <c r="W8" s="70"/>
      <c r="X8" s="70"/>
      <c r="Y8" s="70"/>
      <c r="Z8" s="70"/>
    </row>
    <row r="9" spans="1:26" ht="14.25" customHeight="1">
      <c r="A9" s="29" t="s">
        <v>43</v>
      </c>
      <c r="B9" s="54"/>
      <c r="C9" s="54"/>
      <c r="D9" s="54"/>
      <c r="E9" s="54"/>
      <c r="F9" s="54"/>
      <c r="G9" s="54"/>
      <c r="H9" s="4"/>
      <c r="I9" s="4"/>
      <c r="J9" s="56"/>
      <c r="K9" s="56"/>
      <c r="L9" s="56"/>
      <c r="M9" s="29"/>
      <c r="N9" s="70"/>
      <c r="O9" s="56"/>
      <c r="P9" s="56"/>
      <c r="Q9" s="56"/>
      <c r="R9" s="56"/>
      <c r="S9" s="56"/>
      <c r="T9" s="56"/>
      <c r="U9" s="56"/>
      <c r="V9" s="70"/>
      <c r="W9" s="70"/>
      <c r="X9" s="70"/>
      <c r="Y9" s="70"/>
      <c r="Z9" s="70"/>
    </row>
    <row r="10" spans="1:26" ht="11.25" customHeight="1">
      <c r="A10" s="29"/>
      <c r="B10" s="54"/>
      <c r="C10" s="54"/>
      <c r="D10" s="54"/>
      <c r="E10" s="54"/>
      <c r="F10" s="54"/>
      <c r="G10" s="54"/>
      <c r="H10" s="4"/>
      <c r="I10" s="4"/>
      <c r="J10" s="56"/>
      <c r="K10" s="56"/>
      <c r="L10" s="56"/>
      <c r="M10" s="29"/>
      <c r="N10" s="70"/>
      <c r="O10" s="56"/>
      <c r="P10" s="56"/>
      <c r="Q10" s="56"/>
      <c r="R10" s="56"/>
      <c r="S10" s="56"/>
      <c r="T10" s="56"/>
      <c r="U10" s="56"/>
      <c r="V10" s="70"/>
      <c r="W10" s="70"/>
      <c r="X10" s="70"/>
      <c r="Y10" s="70"/>
      <c r="Z10" s="70"/>
    </row>
    <row r="11" spans="1:26" ht="14.25" customHeight="1">
      <c r="A11" s="86"/>
      <c r="B11" s="278" t="s">
        <v>260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199"/>
      <c r="T11" s="279" t="s">
        <v>68</v>
      </c>
      <c r="U11" s="203"/>
      <c r="V11" s="203"/>
      <c r="W11" s="203"/>
      <c r="X11" s="199"/>
      <c r="Y11" s="74"/>
      <c r="Z11" s="74"/>
    </row>
    <row r="12" spans="1:26" ht="14.25" customHeight="1">
      <c r="A12" s="88">
        <v>1</v>
      </c>
      <c r="B12" s="285" t="s">
        <v>261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199"/>
      <c r="T12" s="286">
        <f>'Workings Income from Business'!C5</f>
        <v>3040000</v>
      </c>
      <c r="U12" s="203"/>
      <c r="V12" s="203"/>
      <c r="W12" s="203"/>
      <c r="X12" s="199"/>
      <c r="Y12" s="74"/>
      <c r="Z12" s="74"/>
    </row>
    <row r="13" spans="1:26" ht="14.25" customHeight="1">
      <c r="A13" s="88">
        <f t="shared" ref="A13:A16" si="0">A12+1</f>
        <v>2</v>
      </c>
      <c r="B13" s="285" t="s">
        <v>262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199"/>
      <c r="T13" s="286">
        <f>'Workings Income from Business'!C7</f>
        <v>640000</v>
      </c>
      <c r="U13" s="203"/>
      <c r="V13" s="203"/>
      <c r="W13" s="203"/>
      <c r="X13" s="199"/>
      <c r="Y13" s="74"/>
      <c r="Z13" s="74"/>
    </row>
    <row r="14" spans="1:26" ht="14.25" customHeight="1">
      <c r="A14" s="88">
        <f t="shared" si="0"/>
        <v>3</v>
      </c>
      <c r="B14" s="285" t="s">
        <v>299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199"/>
      <c r="T14" s="286">
        <f>'Workings Income from Business'!C12</f>
        <v>186000</v>
      </c>
      <c r="U14" s="203"/>
      <c r="V14" s="203"/>
      <c r="W14" s="203"/>
      <c r="X14" s="199"/>
      <c r="Y14" s="74"/>
      <c r="Z14" s="74"/>
    </row>
    <row r="15" spans="1:26" ht="14.25" customHeight="1">
      <c r="A15" s="88">
        <f t="shared" si="0"/>
        <v>4</v>
      </c>
      <c r="B15" s="285" t="s">
        <v>300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199"/>
      <c r="T15" s="285"/>
      <c r="U15" s="203"/>
      <c r="V15" s="203"/>
      <c r="W15" s="203"/>
      <c r="X15" s="199"/>
      <c r="Y15" s="74"/>
      <c r="Z15" s="74"/>
    </row>
    <row r="16" spans="1:26" ht="14.25" customHeight="1">
      <c r="A16" s="88">
        <f t="shared" si="0"/>
        <v>5</v>
      </c>
      <c r="B16" s="290" t="s">
        <v>301</v>
      </c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199"/>
      <c r="T16" s="287">
        <f>T13-T14-T15</f>
        <v>454000</v>
      </c>
      <c r="U16" s="288"/>
      <c r="V16" s="288"/>
      <c r="W16" s="288"/>
      <c r="X16" s="289"/>
      <c r="Y16" s="70"/>
      <c r="Z16" s="70"/>
    </row>
    <row r="17" spans="1:26" ht="14.25" customHeight="1">
      <c r="A17" s="75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4.25" customHeight="1">
      <c r="A18" s="86"/>
      <c r="B18" s="278" t="s">
        <v>302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199"/>
      <c r="T18" s="279" t="s">
        <v>68</v>
      </c>
      <c r="U18" s="203"/>
      <c r="V18" s="203"/>
      <c r="W18" s="203"/>
      <c r="X18" s="199"/>
      <c r="Y18" s="74"/>
      <c r="Z18" s="74"/>
    </row>
    <row r="19" spans="1:26" ht="14.25" customHeight="1">
      <c r="A19" s="88">
        <f>A16+1</f>
        <v>6</v>
      </c>
      <c r="B19" s="285" t="s">
        <v>303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199"/>
      <c r="T19" s="285"/>
      <c r="U19" s="203"/>
      <c r="V19" s="203"/>
      <c r="W19" s="203"/>
      <c r="X19" s="199"/>
      <c r="Y19" s="74"/>
      <c r="Z19" s="74"/>
    </row>
    <row r="20" spans="1:26" ht="14.25" customHeight="1">
      <c r="A20" s="88">
        <f t="shared" ref="A20:A29" si="1">A19+1</f>
        <v>7</v>
      </c>
      <c r="B20" s="285" t="s">
        <v>304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199"/>
      <c r="T20" s="285"/>
      <c r="U20" s="203"/>
      <c r="V20" s="203"/>
      <c r="W20" s="203"/>
      <c r="X20" s="199"/>
      <c r="Y20" s="74"/>
      <c r="Z20" s="74"/>
    </row>
    <row r="21" spans="1:26" ht="14.25" customHeight="1">
      <c r="A21" s="88">
        <f t="shared" si="1"/>
        <v>8</v>
      </c>
      <c r="B21" s="285" t="s">
        <v>305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199"/>
      <c r="T21" s="291">
        <f>'Workings Income from Business'!C16</f>
        <v>60000</v>
      </c>
      <c r="U21" s="203"/>
      <c r="V21" s="203"/>
      <c r="W21" s="203"/>
      <c r="X21" s="199"/>
      <c r="Y21" s="74"/>
      <c r="Z21" s="74"/>
    </row>
    <row r="22" spans="1:26" ht="14.25" customHeight="1">
      <c r="A22" s="88">
        <f t="shared" si="1"/>
        <v>9</v>
      </c>
      <c r="B22" s="285" t="s">
        <v>306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199"/>
      <c r="T22" s="285"/>
      <c r="U22" s="203"/>
      <c r="V22" s="203"/>
      <c r="W22" s="203"/>
      <c r="X22" s="199"/>
      <c r="Y22" s="74"/>
      <c r="Z22" s="74"/>
    </row>
    <row r="23" spans="1:26" ht="14.25" customHeight="1">
      <c r="A23" s="88">
        <f t="shared" si="1"/>
        <v>10</v>
      </c>
      <c r="B23" s="285" t="s">
        <v>307</v>
      </c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199"/>
      <c r="T23" s="292">
        <f>SUM(T19:X22)</f>
        <v>60000</v>
      </c>
      <c r="U23" s="288"/>
      <c r="V23" s="288"/>
      <c r="W23" s="288"/>
      <c r="X23" s="289"/>
      <c r="Y23" s="74"/>
      <c r="Z23" s="74"/>
    </row>
    <row r="24" spans="1:26" ht="14.25" customHeight="1">
      <c r="A24" s="88">
        <f t="shared" si="1"/>
        <v>11</v>
      </c>
      <c r="B24" s="285" t="s">
        <v>308</v>
      </c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199"/>
      <c r="T24" s="293"/>
      <c r="U24" s="203"/>
      <c r="V24" s="203"/>
      <c r="W24" s="203"/>
      <c r="X24" s="199"/>
      <c r="Y24" s="74"/>
      <c r="Z24" s="74"/>
    </row>
    <row r="25" spans="1:26" ht="14.25" customHeight="1">
      <c r="A25" s="88">
        <f t="shared" si="1"/>
        <v>12</v>
      </c>
      <c r="B25" s="285" t="s">
        <v>309</v>
      </c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199"/>
      <c r="T25" s="285"/>
      <c r="U25" s="203"/>
      <c r="V25" s="203"/>
      <c r="W25" s="203"/>
      <c r="X25" s="199"/>
      <c r="Y25" s="74"/>
      <c r="Z25" s="74"/>
    </row>
    <row r="26" spans="1:26" ht="14.25" customHeight="1">
      <c r="A26" s="88">
        <f t="shared" si="1"/>
        <v>13</v>
      </c>
      <c r="B26" s="285" t="s">
        <v>310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199"/>
      <c r="T26" s="285"/>
      <c r="U26" s="203"/>
      <c r="V26" s="203"/>
      <c r="W26" s="203"/>
      <c r="X26" s="199"/>
      <c r="Y26" s="74"/>
      <c r="Z26" s="74"/>
    </row>
    <row r="27" spans="1:26" ht="14.25" customHeight="1">
      <c r="A27" s="88">
        <f t="shared" si="1"/>
        <v>14</v>
      </c>
      <c r="B27" s="290" t="s">
        <v>311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199"/>
      <c r="T27" s="294">
        <f>SUM(T24:X25)-T26</f>
        <v>0</v>
      </c>
      <c r="U27" s="203"/>
      <c r="V27" s="203"/>
      <c r="W27" s="203"/>
      <c r="X27" s="199"/>
      <c r="Y27" s="70"/>
      <c r="Z27" s="70"/>
    </row>
    <row r="28" spans="1:26" ht="14.25" customHeight="1">
      <c r="A28" s="88">
        <f t="shared" si="1"/>
        <v>15</v>
      </c>
      <c r="B28" s="290" t="s">
        <v>312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199"/>
      <c r="T28" s="294"/>
      <c r="U28" s="203"/>
      <c r="V28" s="203"/>
      <c r="W28" s="203"/>
      <c r="X28" s="199"/>
      <c r="Y28" s="70"/>
      <c r="Z28" s="70"/>
    </row>
    <row r="29" spans="1:26" ht="14.25" customHeight="1">
      <c r="A29" s="88">
        <f t="shared" si="1"/>
        <v>16</v>
      </c>
      <c r="B29" s="290" t="s">
        <v>313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199"/>
      <c r="T29" s="294">
        <f>T27+T28</f>
        <v>0</v>
      </c>
      <c r="U29" s="203"/>
      <c r="V29" s="203"/>
      <c r="W29" s="203"/>
      <c r="X29" s="199"/>
      <c r="Y29" s="70"/>
      <c r="Z29" s="70"/>
    </row>
    <row r="30" spans="1:26" ht="10.5" customHeigh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03"/>
      <c r="V30" s="103"/>
      <c r="W30" s="103"/>
      <c r="X30" s="103"/>
      <c r="Y30" s="70"/>
      <c r="Z30" s="70"/>
    </row>
    <row r="31" spans="1:26" ht="14.25" customHeight="1">
      <c r="A31" s="201" t="s">
        <v>314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70"/>
      <c r="Z31" s="70"/>
    </row>
    <row r="32" spans="1:26" ht="14.25" customHeight="1">
      <c r="A32" s="217" t="s">
        <v>315</v>
      </c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70"/>
      <c r="Z32" s="70"/>
    </row>
    <row r="33" spans="1:26" ht="9" customHeight="1">
      <c r="A33" s="21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4.25" customHeight="1">
      <c r="A34" s="16" t="s">
        <v>16</v>
      </c>
      <c r="B34" s="6"/>
      <c r="C34" s="3"/>
      <c r="D34" s="3"/>
      <c r="E34" s="3"/>
      <c r="F34" s="3"/>
      <c r="G34" s="222" t="str">
        <f>G4</f>
        <v>Samiul Bashar</v>
      </c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70"/>
      <c r="Z34" s="70"/>
    </row>
    <row r="35" spans="1:26" ht="14.25" customHeight="1">
      <c r="A35" s="71"/>
      <c r="B35" s="54"/>
      <c r="C35" s="54"/>
      <c r="D35" s="54"/>
      <c r="E35" s="54"/>
      <c r="F35" s="54"/>
      <c r="G35" s="54"/>
      <c r="H35" s="4" t="s">
        <v>53</v>
      </c>
      <c r="I35" s="4"/>
      <c r="J35" s="31">
        <f t="shared" ref="J35:U35" si="2">L5</f>
        <v>1</v>
      </c>
      <c r="K35" s="31">
        <f t="shared" si="2"/>
        <v>2</v>
      </c>
      <c r="L35" s="31">
        <f t="shared" si="2"/>
        <v>3</v>
      </c>
      <c r="M35" s="32" t="str">
        <f t="shared" si="2"/>
        <v>-</v>
      </c>
      <c r="N35" s="31">
        <f t="shared" si="2"/>
        <v>4</v>
      </c>
      <c r="O35" s="31">
        <f t="shared" si="2"/>
        <v>5</v>
      </c>
      <c r="P35" s="31">
        <f t="shared" si="2"/>
        <v>6</v>
      </c>
      <c r="Q35" s="32" t="str">
        <f t="shared" si="2"/>
        <v>-</v>
      </c>
      <c r="R35" s="31">
        <f t="shared" si="2"/>
        <v>7</v>
      </c>
      <c r="S35" s="31">
        <f t="shared" si="2"/>
        <v>8</v>
      </c>
      <c r="T35" s="31">
        <f t="shared" si="2"/>
        <v>9</v>
      </c>
      <c r="U35" s="55">
        <f t="shared" si="2"/>
        <v>0</v>
      </c>
      <c r="V35" s="70"/>
      <c r="W35" s="70"/>
      <c r="X35" s="70"/>
      <c r="Y35" s="70"/>
      <c r="Z35" s="70"/>
    </row>
    <row r="36" spans="1:26" ht="7.5" customHeight="1">
      <c r="A36" s="75"/>
      <c r="B36" s="74"/>
      <c r="C36" s="74"/>
      <c r="D36" s="74"/>
      <c r="E36" s="74"/>
      <c r="F36" s="11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84"/>
      <c r="V36" s="84"/>
      <c r="W36" s="84"/>
      <c r="X36" s="84"/>
      <c r="Y36" s="74"/>
      <c r="Z36" s="74"/>
    </row>
    <row r="37" spans="1:26" ht="14.25" customHeight="1">
      <c r="A37" s="104" t="s">
        <v>316</v>
      </c>
      <c r="B37" s="74"/>
      <c r="C37" s="74"/>
      <c r="D37" s="74"/>
      <c r="E37" s="74"/>
      <c r="F37" s="11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84"/>
      <c r="V37" s="84"/>
      <c r="W37" s="84"/>
      <c r="X37" s="84"/>
      <c r="Y37" s="74"/>
      <c r="Z37" s="74"/>
    </row>
    <row r="38" spans="1:26" ht="10.5" customHeight="1">
      <c r="A38" s="85"/>
      <c r="B38" s="74"/>
      <c r="C38" s="74"/>
      <c r="D38" s="74"/>
      <c r="E38" s="74"/>
      <c r="F38" s="11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84"/>
      <c r="V38" s="84"/>
      <c r="W38" s="84"/>
      <c r="X38" s="84"/>
      <c r="Y38" s="74"/>
      <c r="Z38" s="74"/>
    </row>
    <row r="39" spans="1:26" ht="14.25" customHeight="1">
      <c r="A39" s="86"/>
      <c r="B39" s="278" t="s">
        <v>317</v>
      </c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199"/>
      <c r="T39" s="279" t="s">
        <v>68</v>
      </c>
      <c r="U39" s="203"/>
      <c r="V39" s="203"/>
      <c r="W39" s="203"/>
      <c r="X39" s="199"/>
      <c r="Y39" s="74"/>
      <c r="Z39" s="74"/>
    </row>
    <row r="40" spans="1:26" ht="14.25" customHeight="1">
      <c r="A40" s="88">
        <v>1</v>
      </c>
      <c r="B40" s="281" t="s">
        <v>318</v>
      </c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199"/>
      <c r="T40" s="292"/>
      <c r="U40" s="203"/>
      <c r="V40" s="203"/>
      <c r="W40" s="203"/>
      <c r="X40" s="199"/>
      <c r="Y40" s="74"/>
      <c r="Z40" s="74"/>
    </row>
    <row r="41" spans="1:26" ht="14.25" customHeight="1">
      <c r="A41" s="88">
        <f t="shared" ref="A41:A51" si="3">A40+1</f>
        <v>2</v>
      </c>
      <c r="B41" s="105" t="s">
        <v>319</v>
      </c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7"/>
      <c r="T41" s="292">
        <f>'Tax and Rebate Calculation'!H5</f>
        <v>120000</v>
      </c>
      <c r="U41" s="203"/>
      <c r="V41" s="203"/>
      <c r="W41" s="203"/>
      <c r="X41" s="199"/>
      <c r="Y41" s="74"/>
      <c r="Z41" s="74"/>
    </row>
    <row r="42" spans="1:26" ht="14.25" customHeight="1">
      <c r="A42" s="88">
        <f t="shared" si="3"/>
        <v>3</v>
      </c>
      <c r="B42" s="281" t="s">
        <v>320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199"/>
      <c r="T42" s="282">
        <f>'Tax and Rebate Calculation'!H10</f>
        <v>100000</v>
      </c>
      <c r="U42" s="226"/>
      <c r="V42" s="226"/>
      <c r="W42" s="226"/>
      <c r="X42" s="227"/>
      <c r="Y42" s="74"/>
      <c r="Z42" s="74"/>
    </row>
    <row r="43" spans="1:26" ht="14.25" customHeight="1">
      <c r="A43" s="88">
        <f t="shared" si="3"/>
        <v>4</v>
      </c>
      <c r="B43" s="281" t="s">
        <v>321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199"/>
      <c r="T43" s="282">
        <f>'Tax and Rebate Calculation'!H6+'Tax and Rebate Calculation'!H7+'Tax and Rebate Calculation'!H8</f>
        <v>550000</v>
      </c>
      <c r="U43" s="226"/>
      <c r="V43" s="226"/>
      <c r="W43" s="226"/>
      <c r="X43" s="227"/>
      <c r="Y43" s="74"/>
      <c r="Z43" s="74"/>
    </row>
    <row r="44" spans="1:26" ht="14.25" customHeight="1">
      <c r="A44" s="88">
        <f t="shared" si="3"/>
        <v>5</v>
      </c>
      <c r="B44" s="281" t="s">
        <v>322</v>
      </c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199"/>
      <c r="T44" s="282"/>
      <c r="U44" s="226"/>
      <c r="V44" s="226"/>
      <c r="W44" s="226"/>
      <c r="X44" s="227"/>
      <c r="Y44" s="74"/>
      <c r="Z44" s="74"/>
    </row>
    <row r="45" spans="1:26" ht="14.25" customHeight="1">
      <c r="A45" s="88">
        <f t="shared" si="3"/>
        <v>6</v>
      </c>
      <c r="B45" s="281" t="s">
        <v>323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199"/>
      <c r="T45" s="282">
        <f>'Tax and Rebate Calculation'!H9</f>
        <v>96000</v>
      </c>
      <c r="U45" s="226"/>
      <c r="V45" s="226"/>
      <c r="W45" s="226"/>
      <c r="X45" s="227"/>
      <c r="Y45" s="74"/>
      <c r="Z45" s="74"/>
    </row>
    <row r="46" spans="1:26" ht="14.25" customHeight="1">
      <c r="A46" s="88">
        <f t="shared" si="3"/>
        <v>7</v>
      </c>
      <c r="B46" s="281" t="s">
        <v>324</v>
      </c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199"/>
      <c r="T46" s="282"/>
      <c r="U46" s="226"/>
      <c r="V46" s="226"/>
      <c r="W46" s="226"/>
      <c r="X46" s="227"/>
      <c r="Y46" s="74"/>
      <c r="Z46" s="74"/>
    </row>
    <row r="47" spans="1:26" ht="14.25" customHeight="1">
      <c r="A47" s="88">
        <f t="shared" si="3"/>
        <v>8</v>
      </c>
      <c r="B47" s="284" t="s">
        <v>325</v>
      </c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212"/>
      <c r="T47" s="282"/>
      <c r="U47" s="226"/>
      <c r="V47" s="226"/>
      <c r="W47" s="226"/>
      <c r="X47" s="227"/>
      <c r="Y47" s="74"/>
      <c r="Z47" s="74"/>
    </row>
    <row r="48" spans="1:26" ht="14.25" customHeight="1">
      <c r="A48" s="88">
        <f t="shared" si="3"/>
        <v>9</v>
      </c>
      <c r="B48" s="281" t="s">
        <v>326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199"/>
      <c r="T48" s="282"/>
      <c r="U48" s="226"/>
      <c r="V48" s="226"/>
      <c r="W48" s="226"/>
      <c r="X48" s="227"/>
      <c r="Y48" s="74"/>
      <c r="Z48" s="74"/>
    </row>
    <row r="49" spans="1:26" ht="14.25" customHeight="1">
      <c r="A49" s="88">
        <f t="shared" si="3"/>
        <v>10</v>
      </c>
      <c r="B49" s="281" t="s">
        <v>327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199"/>
      <c r="T49" s="282">
        <f>'Tax and Rebate Calculation'!H11</f>
        <v>60000</v>
      </c>
      <c r="U49" s="226"/>
      <c r="V49" s="226"/>
      <c r="W49" s="226"/>
      <c r="X49" s="227"/>
      <c r="Y49" s="74"/>
      <c r="Z49" s="74"/>
    </row>
    <row r="50" spans="1:26" ht="14.25" customHeight="1">
      <c r="A50" s="88">
        <f t="shared" si="3"/>
        <v>11</v>
      </c>
      <c r="B50" s="281" t="s">
        <v>328</v>
      </c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199"/>
      <c r="T50" s="282">
        <f>SUM(T40:X49)</f>
        <v>926000</v>
      </c>
      <c r="U50" s="226"/>
      <c r="V50" s="226"/>
      <c r="W50" s="226"/>
      <c r="X50" s="227"/>
      <c r="Y50" s="74"/>
      <c r="Z50" s="74"/>
    </row>
    <row r="51" spans="1:26" ht="14.25" customHeight="1">
      <c r="A51" s="88">
        <f t="shared" si="3"/>
        <v>12</v>
      </c>
      <c r="B51" s="281" t="s">
        <v>329</v>
      </c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199"/>
      <c r="T51" s="283">
        <f>T50*0.15</f>
        <v>138900</v>
      </c>
      <c r="U51" s="203"/>
      <c r="V51" s="203"/>
      <c r="W51" s="203"/>
      <c r="X51" s="199"/>
      <c r="Y51" s="74"/>
      <c r="Z51" s="74"/>
    </row>
    <row r="52" spans="1:26" ht="14.2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7"/>
      <c r="Q52" s="97"/>
      <c r="R52" s="97"/>
      <c r="S52" s="97"/>
      <c r="T52" s="97"/>
      <c r="U52" s="97"/>
      <c r="V52" s="97"/>
      <c r="W52" s="97"/>
      <c r="X52" s="97"/>
      <c r="Y52" s="70"/>
      <c r="Z52" s="70"/>
    </row>
    <row r="53" spans="1:26" ht="14.25" customHeight="1">
      <c r="A53" s="98"/>
      <c r="B53" s="99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4.25" customHeight="1">
      <c r="A54" s="100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4.25" customHeight="1">
      <c r="A55" s="100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4.25" customHeight="1">
      <c r="A56" s="100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4.25" customHeight="1">
      <c r="A57" s="100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4.25" customHeight="1">
      <c r="A58" s="100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4.25" customHeight="1">
      <c r="A59" s="100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4.25" customHeight="1">
      <c r="A60" s="100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4.25" customHeight="1">
      <c r="A61" s="100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4.25" customHeight="1">
      <c r="A62" s="100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4.25" customHeight="1">
      <c r="A63" s="100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4.25" customHeight="1">
      <c r="A64" s="100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4.25" customHeight="1">
      <c r="A65" s="100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4.25" customHeight="1">
      <c r="A66" s="100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4.25" customHeight="1">
      <c r="A67" s="10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4.25" customHeight="1">
      <c r="A68" s="100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4.25" customHeight="1">
      <c r="A69" s="100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4.25" customHeight="1">
      <c r="A70" s="100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4.25" customHeight="1">
      <c r="A71" s="100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4.25" customHeight="1">
      <c r="A72" s="100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4.25" customHeight="1">
      <c r="A73" s="100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4.25" customHeight="1">
      <c r="A74" s="100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4.25" customHeight="1">
      <c r="A75" s="100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4.25" customHeight="1">
      <c r="A76" s="100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4.25" customHeight="1">
      <c r="A77" s="100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4.25" customHeight="1">
      <c r="A78" s="100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4.25" customHeight="1">
      <c r="A79" s="100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4.25" customHeight="1">
      <c r="A80" s="100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4.25" customHeight="1">
      <c r="A81" s="100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4.25" customHeight="1">
      <c r="A82" s="100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4.25" customHeight="1">
      <c r="A83" s="100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4.25" customHeight="1">
      <c r="A84" s="100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4.25" customHeight="1">
      <c r="A85" s="100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4.25" customHeight="1">
      <c r="A86" s="100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4.25" customHeight="1">
      <c r="A87" s="100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4.25" customHeight="1">
      <c r="A88" s="100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4.25" customHeight="1">
      <c r="A89" s="100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4.25" customHeight="1">
      <c r="A90" s="100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4.25" customHeight="1">
      <c r="A91" s="100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4.25" customHeight="1">
      <c r="A92" s="100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4.25" customHeight="1">
      <c r="A93" s="100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4.25" customHeight="1">
      <c r="A94" s="100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4.25" customHeight="1">
      <c r="A95" s="100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4.25" customHeight="1">
      <c r="A96" s="100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4.25" customHeight="1">
      <c r="A97" s="100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4.25" customHeight="1">
      <c r="A98" s="100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4.25" customHeight="1">
      <c r="A99" s="100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4.25" customHeight="1">
      <c r="A100" s="100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4.25" customHeight="1">
      <c r="A101" s="100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4.25" customHeight="1">
      <c r="A102" s="100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4.25" customHeight="1">
      <c r="A103" s="100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4.25" customHeight="1">
      <c r="A104" s="100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4.25" customHeight="1">
      <c r="A105" s="100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4.25" customHeight="1">
      <c r="A106" s="100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4.25" customHeight="1">
      <c r="A107" s="100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4.25" customHeight="1">
      <c r="A108" s="100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4.25" customHeight="1">
      <c r="A109" s="100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4.25" customHeight="1">
      <c r="A110" s="100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4.25" customHeight="1">
      <c r="A111" s="100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4.25" customHeight="1">
      <c r="A112" s="100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4.25" customHeight="1">
      <c r="A113" s="100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4.25" customHeight="1">
      <c r="A114" s="100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4.25" customHeight="1">
      <c r="A115" s="100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4.25" customHeight="1">
      <c r="A116" s="100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4.25" customHeight="1">
      <c r="A117" s="100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4.25" customHeight="1">
      <c r="A118" s="100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4.25" customHeight="1">
      <c r="A119" s="100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4.25" customHeight="1">
      <c r="A120" s="100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4.25" customHeight="1">
      <c r="A121" s="100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4.25" customHeight="1">
      <c r="A122" s="100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4.25" customHeight="1">
      <c r="A123" s="100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4.25" customHeight="1">
      <c r="A124" s="100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4.25" customHeight="1">
      <c r="A125" s="100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4.25" customHeight="1">
      <c r="A126" s="100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4.25" customHeight="1">
      <c r="A127" s="100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4.25" customHeight="1">
      <c r="A128" s="100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4.25" customHeight="1">
      <c r="A129" s="100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4.25" customHeight="1">
      <c r="A130" s="100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4.25" customHeight="1">
      <c r="A131" s="100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4.25" customHeight="1">
      <c r="A132" s="100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4.25" customHeight="1">
      <c r="A133" s="100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4.25" customHeight="1">
      <c r="A134" s="100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4.25" customHeight="1">
      <c r="A135" s="100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4.25" customHeight="1">
      <c r="A136" s="100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4.25" customHeight="1">
      <c r="A137" s="100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4.25" customHeight="1">
      <c r="A138" s="100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4.25" customHeight="1">
      <c r="A139" s="100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4.25" customHeight="1">
      <c r="A140" s="100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4.25" customHeight="1">
      <c r="A141" s="100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4.25" customHeight="1">
      <c r="A142" s="100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4.25" customHeight="1">
      <c r="A143" s="100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4.25" customHeight="1">
      <c r="A144" s="100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4.25" customHeight="1">
      <c r="A145" s="100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4.25" customHeight="1">
      <c r="A146" s="100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4.25" customHeight="1">
      <c r="A147" s="100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4.25" customHeight="1">
      <c r="A148" s="100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4.25" customHeight="1">
      <c r="A149" s="100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4.25" customHeight="1">
      <c r="A150" s="100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4.25" customHeight="1">
      <c r="A151" s="100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4.25" customHeight="1">
      <c r="A152" s="10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4.25" customHeight="1">
      <c r="A153" s="100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4.25" customHeight="1">
      <c r="A154" s="100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4.25" customHeight="1">
      <c r="A155" s="100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4.25" customHeight="1">
      <c r="A156" s="100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4.25" customHeight="1">
      <c r="A157" s="100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4.25" customHeight="1">
      <c r="A158" s="100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4.25" customHeight="1">
      <c r="A159" s="100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4.25" customHeight="1">
      <c r="A160" s="100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4.25" customHeight="1">
      <c r="A161" s="100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4.25" customHeight="1">
      <c r="A162" s="100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4.25" customHeight="1">
      <c r="A163" s="100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4.25" customHeight="1">
      <c r="A164" s="100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4.25" customHeight="1">
      <c r="A165" s="100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4.25" customHeight="1">
      <c r="A166" s="100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4.25" customHeight="1">
      <c r="A167" s="100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4.25" customHeight="1">
      <c r="A168" s="100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4.25" customHeight="1">
      <c r="A169" s="100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4.25" customHeight="1">
      <c r="A170" s="100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4.25" customHeight="1">
      <c r="A171" s="100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4.25" customHeight="1">
      <c r="A172" s="100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4.25" customHeight="1">
      <c r="A173" s="100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4.25" customHeight="1">
      <c r="A174" s="100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4.25" customHeight="1">
      <c r="A175" s="100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4.25" customHeight="1">
      <c r="A176" s="100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4.25" customHeight="1">
      <c r="A177" s="100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4.25" customHeight="1">
      <c r="A178" s="100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4.25" customHeight="1">
      <c r="A179" s="100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4.25" customHeight="1">
      <c r="A180" s="100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4.25" customHeight="1">
      <c r="A181" s="100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4.25" customHeight="1">
      <c r="A182" s="100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4.25" customHeight="1">
      <c r="A183" s="100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4.25" customHeight="1">
      <c r="A184" s="100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4.25" customHeight="1">
      <c r="A185" s="100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4.25" customHeight="1">
      <c r="A186" s="100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4.25" customHeight="1">
      <c r="A187" s="100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4.25" customHeight="1">
      <c r="A188" s="100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4.25" customHeight="1">
      <c r="A189" s="100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4.25" customHeight="1">
      <c r="A190" s="100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4.25" customHeight="1">
      <c r="A191" s="100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4.25" customHeight="1">
      <c r="A192" s="100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4.25" customHeight="1">
      <c r="A193" s="100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4.25" customHeight="1">
      <c r="A194" s="100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4.25" customHeight="1">
      <c r="A195" s="100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4.25" customHeight="1">
      <c r="A196" s="100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4.25" customHeight="1">
      <c r="A197" s="100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4.25" customHeight="1">
      <c r="A198" s="100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4.25" customHeight="1">
      <c r="A199" s="100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4.25" customHeight="1">
      <c r="A200" s="100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4.25" customHeight="1">
      <c r="A201" s="100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4.25" customHeight="1">
      <c r="A202" s="100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4.25" customHeight="1">
      <c r="A203" s="100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4.25" customHeight="1">
      <c r="A204" s="100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4.25" customHeight="1">
      <c r="A205" s="100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4.25" customHeight="1">
      <c r="A206" s="100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4.25" customHeight="1">
      <c r="A207" s="100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4.25" customHeight="1">
      <c r="A208" s="100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4.25" customHeight="1">
      <c r="A209" s="100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4.25" customHeight="1">
      <c r="A210" s="100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4.25" customHeight="1">
      <c r="A211" s="100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4.25" customHeight="1">
      <c r="A212" s="100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4.25" customHeight="1">
      <c r="A213" s="100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4.25" customHeight="1">
      <c r="A214" s="100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4.25" customHeight="1">
      <c r="A215" s="100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4.25" customHeight="1">
      <c r="A216" s="100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4.25" customHeight="1">
      <c r="A217" s="100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4.25" customHeight="1">
      <c r="A218" s="100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4.25" customHeight="1">
      <c r="A219" s="100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4.25" customHeight="1">
      <c r="A220" s="100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4.25" customHeight="1">
      <c r="A221" s="100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4.25" customHeight="1">
      <c r="A222" s="100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4.25" customHeight="1">
      <c r="A223" s="100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4.25" customHeight="1">
      <c r="A224" s="100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4.25" customHeight="1">
      <c r="A225" s="100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4.25" customHeight="1">
      <c r="A226" s="100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4.25" customHeight="1">
      <c r="A227" s="100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4.25" customHeight="1">
      <c r="A228" s="100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4.25" customHeight="1">
      <c r="A229" s="100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4.25" customHeight="1">
      <c r="A230" s="100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4.25" customHeight="1">
      <c r="A231" s="100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4.25" customHeight="1">
      <c r="A232" s="100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4.25" customHeight="1">
      <c r="A233" s="100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4.25" customHeight="1">
      <c r="A234" s="100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4.25" customHeight="1">
      <c r="A235" s="100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4.25" customHeight="1">
      <c r="A236" s="100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4.25" customHeight="1">
      <c r="A237" s="100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4.25" customHeight="1">
      <c r="A238" s="100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4.25" customHeight="1">
      <c r="A239" s="100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4.25" customHeight="1">
      <c r="A240" s="100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4.25" customHeight="1">
      <c r="A241" s="100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4.25" customHeight="1">
      <c r="A242" s="100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4.25" customHeight="1">
      <c r="A243" s="100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4.25" customHeight="1">
      <c r="A244" s="100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4.25" customHeight="1">
      <c r="A245" s="100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4.25" customHeight="1">
      <c r="A246" s="100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4.25" customHeight="1">
      <c r="A247" s="100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4.25" customHeight="1">
      <c r="A248" s="100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4.25" customHeight="1">
      <c r="A249" s="100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4.25" customHeight="1">
      <c r="A250" s="100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4.25" customHeight="1">
      <c r="A251" s="100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T41:X41"/>
    <mergeCell ref="B42:S42"/>
    <mergeCell ref="T42:X42"/>
    <mergeCell ref="A32:X32"/>
    <mergeCell ref="G34:X34"/>
    <mergeCell ref="B39:S39"/>
    <mergeCell ref="T39:X39"/>
    <mergeCell ref="B40:S40"/>
    <mergeCell ref="T40:X40"/>
    <mergeCell ref="B28:S28"/>
    <mergeCell ref="T28:X28"/>
    <mergeCell ref="B29:S29"/>
    <mergeCell ref="T29:X29"/>
    <mergeCell ref="A31:X31"/>
    <mergeCell ref="B25:S25"/>
    <mergeCell ref="T25:X25"/>
    <mergeCell ref="B26:S26"/>
    <mergeCell ref="T26:X26"/>
    <mergeCell ref="B27:S27"/>
    <mergeCell ref="T27:X27"/>
    <mergeCell ref="B22:S22"/>
    <mergeCell ref="T22:X22"/>
    <mergeCell ref="B23:S23"/>
    <mergeCell ref="T23:X23"/>
    <mergeCell ref="T24:X24"/>
    <mergeCell ref="B24:S24"/>
    <mergeCell ref="B19:S19"/>
    <mergeCell ref="T19:X19"/>
    <mergeCell ref="B20:S20"/>
    <mergeCell ref="T20:X20"/>
    <mergeCell ref="B21:S21"/>
    <mergeCell ref="T21:X21"/>
    <mergeCell ref="B15:S15"/>
    <mergeCell ref="T15:X15"/>
    <mergeCell ref="T16:X16"/>
    <mergeCell ref="B16:S16"/>
    <mergeCell ref="B18:S18"/>
    <mergeCell ref="T18:X18"/>
    <mergeCell ref="B12:S12"/>
    <mergeCell ref="T12:X12"/>
    <mergeCell ref="B13:S13"/>
    <mergeCell ref="T13:X13"/>
    <mergeCell ref="B14:S14"/>
    <mergeCell ref="T14:X14"/>
    <mergeCell ref="A1:X1"/>
    <mergeCell ref="A2:X2"/>
    <mergeCell ref="G4:V4"/>
    <mergeCell ref="B11:S11"/>
    <mergeCell ref="T11:X11"/>
    <mergeCell ref="T46:X46"/>
    <mergeCell ref="B50:S50"/>
    <mergeCell ref="T50:X50"/>
    <mergeCell ref="B51:S51"/>
    <mergeCell ref="T51:X51"/>
    <mergeCell ref="B46:S46"/>
    <mergeCell ref="B47:S47"/>
    <mergeCell ref="T47:X47"/>
    <mergeCell ref="B48:S48"/>
    <mergeCell ref="T48:X48"/>
    <mergeCell ref="B49:S49"/>
    <mergeCell ref="T49:X49"/>
    <mergeCell ref="B43:S43"/>
    <mergeCell ref="T43:X43"/>
    <mergeCell ref="B44:S44"/>
    <mergeCell ref="T44:X44"/>
    <mergeCell ref="B45:S45"/>
    <mergeCell ref="T45:X45"/>
  </mergeCells>
  <conditionalFormatting sqref="G4">
    <cfRule type="containsBlanks" dxfId="3" priority="1" stopIfTrue="1">
      <formula>LEN(TRIM(G4))=0</formula>
    </cfRule>
  </conditionalFormatting>
  <conditionalFormatting sqref="G34">
    <cfRule type="containsBlanks" dxfId="2" priority="2" stopIfTrue="1">
      <formula>LEN(TRIM(G34))=0</formula>
    </cfRule>
  </conditionalFormatting>
  <pageMargins left="0.45" right="0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C16"/>
  <sheetViews>
    <sheetView showGridLines="0" workbookViewId="0">
      <selection activeCell="I23" sqref="I23"/>
    </sheetView>
  </sheetViews>
  <sheetFormatPr defaultColWidth="14.42578125" defaultRowHeight="15" customHeight="1"/>
  <cols>
    <col min="1" max="1" width="38.42578125" style="318" customWidth="1"/>
    <col min="2" max="16384" width="14.42578125" style="318"/>
  </cols>
  <sheetData>
    <row r="2" spans="1:3">
      <c r="A2" s="355" t="s">
        <v>330</v>
      </c>
      <c r="B2" s="356" t="s">
        <v>110</v>
      </c>
      <c r="C2" s="356" t="s">
        <v>110</v>
      </c>
    </row>
    <row r="3" spans="1:3">
      <c r="A3" s="357" t="s">
        <v>331</v>
      </c>
      <c r="B3" s="358">
        <v>3000000</v>
      </c>
      <c r="C3" s="358"/>
    </row>
    <row r="4" spans="1:3">
      <c r="A4" s="357" t="s">
        <v>277</v>
      </c>
      <c r="B4" s="362">
        <f>100000*40%</f>
        <v>40000</v>
      </c>
      <c r="C4" s="358"/>
    </row>
    <row r="5" spans="1:3">
      <c r="A5" s="357" t="s">
        <v>280</v>
      </c>
      <c r="B5" s="358"/>
      <c r="C5" s="358">
        <f>SUM(B3:B4)</f>
        <v>3040000</v>
      </c>
    </row>
    <row r="6" spans="1:3">
      <c r="A6" s="357" t="s">
        <v>332</v>
      </c>
      <c r="B6" s="358"/>
      <c r="C6" s="358">
        <v>2400000</v>
      </c>
    </row>
    <row r="7" spans="1:3">
      <c r="A7" s="357" t="s">
        <v>262</v>
      </c>
      <c r="B7" s="358"/>
      <c r="C7" s="358">
        <f>C5-C6</f>
        <v>640000</v>
      </c>
    </row>
    <row r="8" spans="1:3">
      <c r="A8" s="357" t="s">
        <v>333</v>
      </c>
      <c r="B8" s="358"/>
      <c r="C8" s="358"/>
    </row>
    <row r="9" spans="1:3">
      <c r="A9" s="357" t="s">
        <v>334</v>
      </c>
      <c r="B9" s="358">
        <v>80000</v>
      </c>
      <c r="C9" s="358"/>
    </row>
    <row r="10" spans="1:3">
      <c r="A10" s="357" t="s">
        <v>335</v>
      </c>
      <c r="B10" s="358">
        <v>100000</v>
      </c>
      <c r="C10" s="358"/>
    </row>
    <row r="11" spans="1:3">
      <c r="A11" s="357" t="s">
        <v>336</v>
      </c>
      <c r="B11" s="362">
        <f>60000*10%</f>
        <v>6000</v>
      </c>
      <c r="C11" s="358"/>
    </row>
    <row r="12" spans="1:3">
      <c r="A12" s="357" t="s">
        <v>337</v>
      </c>
      <c r="B12" s="364"/>
      <c r="C12" s="364">
        <f>SUM(B9:B11)</f>
        <v>186000</v>
      </c>
    </row>
    <row r="13" spans="1:3">
      <c r="A13" s="363" t="s">
        <v>338</v>
      </c>
      <c r="B13" s="364"/>
      <c r="C13" s="365">
        <f>C7-C12</f>
        <v>454000</v>
      </c>
    </row>
    <row r="15" spans="1:3">
      <c r="A15" s="355" t="s">
        <v>339</v>
      </c>
      <c r="B15" s="394"/>
      <c r="C15" s="356" t="s">
        <v>110</v>
      </c>
    </row>
    <row r="16" spans="1:3">
      <c r="A16" s="366" t="s">
        <v>340</v>
      </c>
      <c r="B16" s="367"/>
      <c r="C16" s="364">
        <v>60000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C14"/>
  <sheetViews>
    <sheetView showGridLines="0" workbookViewId="0">
      <selection activeCell="G31" sqref="G31"/>
    </sheetView>
  </sheetViews>
  <sheetFormatPr defaultColWidth="14.42578125" defaultRowHeight="15" customHeight="1"/>
  <cols>
    <col min="1" max="1" width="45.140625" style="318" customWidth="1"/>
    <col min="2" max="16384" width="14.42578125" style="318"/>
  </cols>
  <sheetData>
    <row r="2" spans="1:3">
      <c r="A2" s="356" t="s">
        <v>341</v>
      </c>
      <c r="B2" s="356" t="s">
        <v>110</v>
      </c>
      <c r="C2" s="356" t="s">
        <v>110</v>
      </c>
    </row>
    <row r="3" spans="1:3">
      <c r="A3" s="388" t="s">
        <v>342</v>
      </c>
      <c r="B3" s="382">
        <f>4500/0.9</f>
        <v>5000</v>
      </c>
      <c r="C3" s="382"/>
    </row>
    <row r="4" spans="1:3">
      <c r="A4" s="388" t="s">
        <v>135</v>
      </c>
      <c r="B4" s="358">
        <f>2700/0.9</f>
        <v>3000</v>
      </c>
      <c r="C4" s="358"/>
    </row>
    <row r="5" spans="1:3">
      <c r="A5" s="388" t="s">
        <v>136</v>
      </c>
      <c r="B5" s="358">
        <f>1800/0.9</f>
        <v>2000</v>
      </c>
      <c r="C5" s="358"/>
    </row>
    <row r="6" spans="1:3">
      <c r="A6" s="388" t="s">
        <v>142</v>
      </c>
      <c r="B6" s="358">
        <v>30000</v>
      </c>
      <c r="C6" s="358"/>
    </row>
    <row r="7" spans="1:3">
      <c r="A7" s="388" t="s">
        <v>343</v>
      </c>
      <c r="B7" s="358">
        <f>27000/0.9</f>
        <v>30000</v>
      </c>
      <c r="C7" s="358"/>
    </row>
    <row r="8" spans="1:3">
      <c r="A8" s="388" t="s">
        <v>138</v>
      </c>
      <c r="B8" s="358">
        <f>400000*15%</f>
        <v>60000</v>
      </c>
      <c r="C8" s="358"/>
    </row>
    <row r="9" spans="1:3">
      <c r="A9" s="388" t="s">
        <v>280</v>
      </c>
      <c r="B9" s="385"/>
      <c r="C9" s="358">
        <f>SUM(B3:B8)</f>
        <v>130000</v>
      </c>
    </row>
    <row r="10" spans="1:3">
      <c r="A10" s="388" t="s">
        <v>241</v>
      </c>
      <c r="B10" s="385"/>
      <c r="C10" s="358"/>
    </row>
    <row r="11" spans="1:3">
      <c r="A11" s="388" t="s">
        <v>344</v>
      </c>
      <c r="B11" s="358">
        <f>400000*10%</f>
        <v>40000</v>
      </c>
      <c r="C11" s="395"/>
    </row>
    <row r="12" spans="1:3">
      <c r="A12" s="388" t="s">
        <v>345</v>
      </c>
      <c r="B12" s="358">
        <f>(COUNT(B6:B8)*1500)</f>
        <v>4500</v>
      </c>
      <c r="C12" s="395"/>
    </row>
    <row r="13" spans="1:3">
      <c r="A13" s="388" t="s">
        <v>346</v>
      </c>
      <c r="B13" s="385"/>
      <c r="C13" s="364">
        <f>SUM(B11:B12)</f>
        <v>44500</v>
      </c>
    </row>
    <row r="14" spans="1:3">
      <c r="A14" s="396" t="s">
        <v>347</v>
      </c>
      <c r="B14" s="386"/>
      <c r="C14" s="386">
        <f>C9-C13</f>
        <v>85500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9"/>
  <sheetViews>
    <sheetView showGridLines="0" workbookViewId="0">
      <selection activeCell="M26" sqref="M26"/>
    </sheetView>
  </sheetViews>
  <sheetFormatPr defaultColWidth="14.42578125" defaultRowHeight="15" customHeight="1"/>
  <cols>
    <col min="1" max="16384" width="14.42578125" style="318"/>
  </cols>
  <sheetData>
    <row r="1" spans="1:3">
      <c r="A1" s="355" t="s">
        <v>341</v>
      </c>
      <c r="B1" s="394"/>
      <c r="C1" s="356" t="s">
        <v>110</v>
      </c>
    </row>
    <row r="2" spans="1:3">
      <c r="A2" s="357" t="s">
        <v>348</v>
      </c>
      <c r="C2" s="358">
        <v>300000</v>
      </c>
    </row>
    <row r="3" spans="1:3">
      <c r="A3" s="357" t="s">
        <v>349</v>
      </c>
      <c r="C3" s="358"/>
    </row>
    <row r="4" spans="1:3">
      <c r="A4" s="366" t="s">
        <v>350</v>
      </c>
      <c r="B4" s="367"/>
      <c r="C4" s="386">
        <f>C2/2</f>
        <v>150000</v>
      </c>
    </row>
    <row r="19" spans="5:5">
      <c r="E19" s="38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I36"/>
  <sheetViews>
    <sheetView showGridLines="0" workbookViewId="0">
      <selection activeCell="F20" sqref="F20"/>
    </sheetView>
  </sheetViews>
  <sheetFormatPr defaultColWidth="14.42578125" defaultRowHeight="15" customHeight="1"/>
  <cols>
    <col min="1" max="1" width="30.140625" style="318" customWidth="1"/>
    <col min="2" max="16384" width="14.42578125" style="318"/>
  </cols>
  <sheetData>
    <row r="2" spans="1:3">
      <c r="A2" s="355" t="s">
        <v>341</v>
      </c>
      <c r="B2" s="394"/>
      <c r="C2" s="356" t="s">
        <v>110</v>
      </c>
    </row>
    <row r="3" spans="1:3">
      <c r="A3" s="357" t="s">
        <v>140</v>
      </c>
      <c r="C3" s="358">
        <f>24000/0.8</f>
        <v>30000</v>
      </c>
    </row>
    <row r="4" spans="1:3">
      <c r="A4" s="357" t="s">
        <v>351</v>
      </c>
      <c r="C4" s="364">
        <v>125000</v>
      </c>
    </row>
    <row r="5" spans="1:3">
      <c r="A5" s="366" t="s">
        <v>352</v>
      </c>
      <c r="B5" s="367"/>
      <c r="C5" s="368">
        <f>SUM(C3:C4)</f>
        <v>155000</v>
      </c>
    </row>
    <row r="36" spans="9:9">
      <c r="I36" s="38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0"/>
  <sheetViews>
    <sheetView showGridLines="0" topLeftCell="A7" workbookViewId="0">
      <selection activeCell="Z30" sqref="Z30"/>
    </sheetView>
  </sheetViews>
  <sheetFormatPr defaultColWidth="14.42578125" defaultRowHeight="15" customHeight="1"/>
  <cols>
    <col min="1" max="22" width="3.85546875" customWidth="1"/>
    <col min="23" max="24" width="3.5703125" customWidth="1"/>
    <col min="25" max="28" width="9.140625" customWidth="1"/>
  </cols>
  <sheetData>
    <row r="1" spans="1:28" ht="14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70"/>
      <c r="Z1" s="70"/>
      <c r="AA1" s="70"/>
      <c r="AB1" s="70"/>
    </row>
    <row r="2" spans="1:28" ht="14.25" customHeight="1">
      <c r="A2" s="6"/>
      <c r="B2" s="6"/>
      <c r="C2" s="6"/>
      <c r="D2" s="6"/>
      <c r="E2" s="6"/>
      <c r="F2" s="6"/>
      <c r="G2" s="6"/>
      <c r="H2" s="3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1" t="s">
        <v>353</v>
      </c>
      <c r="X2" s="6"/>
      <c r="Y2" s="70"/>
      <c r="Z2" s="70"/>
      <c r="AA2" s="70"/>
      <c r="AB2" s="70"/>
    </row>
    <row r="3" spans="1:28" ht="14.25" customHeight="1">
      <c r="A3" s="201" t="s">
        <v>354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70"/>
      <c r="Z3" s="70"/>
      <c r="AA3" s="70"/>
      <c r="AB3" s="70"/>
    </row>
    <row r="4" spans="1:28" ht="14.25" customHeight="1">
      <c r="A4" s="217" t="s">
        <v>355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70"/>
      <c r="Z4" s="70"/>
      <c r="AA4" s="70"/>
      <c r="AB4" s="70"/>
    </row>
    <row r="5" spans="1:28" ht="14.25" customHeight="1">
      <c r="A5" s="21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 spans="1:28" ht="14.25" customHeight="1">
      <c r="A6" s="16" t="s">
        <v>16</v>
      </c>
      <c r="B6" s="6"/>
      <c r="C6" s="3"/>
      <c r="D6" s="3"/>
      <c r="E6" s="3"/>
      <c r="F6" s="3"/>
      <c r="G6" s="210" t="str">
        <f>Return!H8</f>
        <v>Samiul Bashar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0"/>
      <c r="X6" s="10"/>
      <c r="Y6" s="70"/>
      <c r="Z6" s="70"/>
      <c r="AA6" s="70"/>
      <c r="AB6" s="70"/>
    </row>
    <row r="7" spans="1:28" ht="14.25" customHeight="1">
      <c r="A7" s="71"/>
      <c r="B7" s="54"/>
      <c r="C7" s="54"/>
      <c r="D7" s="54"/>
      <c r="E7" s="54"/>
      <c r="F7" s="54"/>
      <c r="G7" s="54"/>
      <c r="H7" s="70"/>
      <c r="I7" s="4"/>
      <c r="J7" s="4" t="s">
        <v>53</v>
      </c>
      <c r="K7" s="70"/>
      <c r="L7" s="31">
        <f>Return!D114</f>
        <v>1</v>
      </c>
      <c r="M7" s="31">
        <f>Return!E114</f>
        <v>2</v>
      </c>
      <c r="N7" s="31">
        <f>Return!F114</f>
        <v>3</v>
      </c>
      <c r="O7" s="32" t="str">
        <f>Return!G114</f>
        <v>-</v>
      </c>
      <c r="P7" s="31">
        <f>Return!H114</f>
        <v>4</v>
      </c>
      <c r="Q7" s="31">
        <f>Return!I114</f>
        <v>5</v>
      </c>
      <c r="R7" s="31">
        <f>Return!J114</f>
        <v>6</v>
      </c>
      <c r="S7" s="32" t="str">
        <f>Return!K114</f>
        <v>-</v>
      </c>
      <c r="T7" s="31">
        <f>Return!L114</f>
        <v>7</v>
      </c>
      <c r="U7" s="31">
        <f>Return!M114</f>
        <v>8</v>
      </c>
      <c r="V7" s="31">
        <f>Return!N114</f>
        <v>9</v>
      </c>
      <c r="W7" s="55">
        <f>Return!O114</f>
        <v>0</v>
      </c>
      <c r="X7" s="70"/>
      <c r="Y7" s="70"/>
      <c r="Z7" s="70"/>
      <c r="AA7" s="70"/>
      <c r="AB7" s="70"/>
    </row>
    <row r="8" spans="1:28" ht="14.25" customHeight="1">
      <c r="A8" s="71"/>
      <c r="B8" s="54"/>
      <c r="C8" s="54"/>
      <c r="D8" s="54"/>
      <c r="E8" s="54"/>
      <c r="F8" s="54"/>
      <c r="G8" s="54"/>
      <c r="H8" s="4"/>
      <c r="I8" s="4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70"/>
      <c r="W8" s="70"/>
      <c r="X8" s="70"/>
      <c r="Y8" s="70"/>
      <c r="Z8" s="70"/>
      <c r="AA8" s="70"/>
      <c r="AB8" s="70"/>
    </row>
    <row r="9" spans="1:28" ht="14.25" customHeight="1">
      <c r="A9" s="85"/>
      <c r="B9" s="74"/>
      <c r="C9" s="74"/>
      <c r="D9" s="74"/>
      <c r="E9" s="74"/>
      <c r="F9" s="11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84"/>
      <c r="V9" s="84"/>
      <c r="W9" s="84"/>
      <c r="X9" s="84"/>
      <c r="Y9" s="74"/>
      <c r="Z9" s="74"/>
      <c r="AA9" s="74"/>
      <c r="AB9" s="74"/>
    </row>
    <row r="10" spans="1:28" ht="19.5" customHeight="1">
      <c r="A10" s="108" t="s">
        <v>171</v>
      </c>
      <c r="B10" s="259" t="s">
        <v>356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199"/>
      <c r="Q10" s="279" t="s">
        <v>68</v>
      </c>
      <c r="R10" s="203"/>
      <c r="S10" s="203"/>
      <c r="T10" s="199"/>
      <c r="U10" s="279" t="s">
        <v>357</v>
      </c>
      <c r="V10" s="203"/>
      <c r="W10" s="203"/>
      <c r="X10" s="199"/>
      <c r="Y10" s="74"/>
      <c r="Z10" s="74"/>
      <c r="AA10" s="74"/>
      <c r="AB10" s="74"/>
    </row>
    <row r="11" spans="1:28" ht="19.5" customHeight="1">
      <c r="A11" s="86">
        <v>1</v>
      </c>
      <c r="B11" s="259" t="s">
        <v>358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199"/>
      <c r="Q11" s="295">
        <f>'Workings Lifestyle Expense'!C4</f>
        <v>80000</v>
      </c>
      <c r="R11" s="203"/>
      <c r="S11" s="203"/>
      <c r="T11" s="199"/>
      <c r="U11" s="283"/>
      <c r="V11" s="203"/>
      <c r="W11" s="203"/>
      <c r="X11" s="199"/>
      <c r="Y11" s="74"/>
      <c r="Z11" s="74"/>
      <c r="AB11" s="74"/>
    </row>
    <row r="12" spans="1:28" ht="19.5" customHeight="1">
      <c r="A12" s="86">
        <f t="shared" ref="A12:A19" si="0">A11+1</f>
        <v>2</v>
      </c>
      <c r="B12" s="285" t="s">
        <v>359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199"/>
      <c r="Q12" s="295">
        <f>'Workings Lifestyle Expense'!C8</f>
        <v>2500</v>
      </c>
      <c r="R12" s="203"/>
      <c r="S12" s="203"/>
      <c r="T12" s="199"/>
      <c r="U12" s="283"/>
      <c r="V12" s="203"/>
      <c r="W12" s="203"/>
      <c r="X12" s="199"/>
      <c r="Y12" s="74"/>
      <c r="Z12" s="74"/>
      <c r="AA12" s="74"/>
      <c r="AB12" s="74"/>
    </row>
    <row r="13" spans="1:28" ht="19.5" customHeight="1">
      <c r="A13" s="86">
        <f t="shared" si="0"/>
        <v>3</v>
      </c>
      <c r="B13" s="285" t="s">
        <v>360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199"/>
      <c r="Q13" s="295">
        <f>'Workings Lifestyle Expense'!C9</f>
        <v>6000</v>
      </c>
      <c r="R13" s="203"/>
      <c r="S13" s="203"/>
      <c r="T13" s="199"/>
      <c r="U13" s="283"/>
      <c r="V13" s="203"/>
      <c r="W13" s="203"/>
      <c r="X13" s="199"/>
      <c r="Y13" s="74"/>
      <c r="Z13" s="74"/>
      <c r="AA13" s="74"/>
      <c r="AB13" s="74"/>
    </row>
    <row r="14" spans="1:28" ht="19.5" customHeight="1">
      <c r="A14" s="86">
        <f t="shared" si="0"/>
        <v>4</v>
      </c>
      <c r="B14" s="296" t="s">
        <v>361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199"/>
      <c r="Q14" s="295">
        <f>'Workings Lifestyle Expense'!C7</f>
        <v>5000</v>
      </c>
      <c r="R14" s="203"/>
      <c r="S14" s="203"/>
      <c r="T14" s="199"/>
      <c r="U14" s="283"/>
      <c r="V14" s="203"/>
      <c r="W14" s="203"/>
      <c r="X14" s="199"/>
      <c r="Y14" s="74"/>
      <c r="Z14" s="74"/>
      <c r="AA14" s="74"/>
      <c r="AB14" s="74"/>
    </row>
    <row r="15" spans="1:28" ht="19.5" customHeight="1">
      <c r="A15" s="86">
        <f t="shared" si="0"/>
        <v>5</v>
      </c>
      <c r="B15" s="285" t="s">
        <v>362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199"/>
      <c r="Q15" s="295"/>
      <c r="R15" s="203"/>
      <c r="S15" s="203"/>
      <c r="T15" s="199"/>
      <c r="U15" s="283"/>
      <c r="V15" s="203"/>
      <c r="W15" s="203"/>
      <c r="X15" s="199"/>
      <c r="Y15" s="74"/>
      <c r="Z15" s="74"/>
      <c r="AA15" s="74"/>
      <c r="AB15" s="74"/>
    </row>
    <row r="16" spans="1:28" ht="19.5" customHeight="1">
      <c r="A16" s="86">
        <f t="shared" si="0"/>
        <v>6</v>
      </c>
      <c r="B16" s="285" t="s">
        <v>363</v>
      </c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199"/>
      <c r="Q16" s="295">
        <f>'Workings Lifestyle Expense'!C12</f>
        <v>30000</v>
      </c>
      <c r="R16" s="203"/>
      <c r="S16" s="203"/>
      <c r="T16" s="199"/>
      <c r="U16" s="283"/>
      <c r="V16" s="203"/>
      <c r="W16" s="203"/>
      <c r="X16" s="199"/>
      <c r="Y16" s="74"/>
      <c r="Z16" s="74"/>
      <c r="AA16" s="74"/>
      <c r="AB16" s="74"/>
    </row>
    <row r="17" spans="1:28" ht="19.5" customHeight="1">
      <c r="A17" s="86">
        <f t="shared" si="0"/>
        <v>7</v>
      </c>
      <c r="B17" s="285" t="s">
        <v>364</v>
      </c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199"/>
      <c r="Q17" s="295">
        <f>'Workings Lifestyle Expense'!C11</f>
        <v>15000</v>
      </c>
      <c r="R17" s="203"/>
      <c r="S17" s="203"/>
      <c r="T17" s="199"/>
      <c r="U17" s="283"/>
      <c r="V17" s="203"/>
      <c r="W17" s="203"/>
      <c r="X17" s="199"/>
      <c r="Y17" s="74"/>
      <c r="Z17" s="74"/>
      <c r="AA17" s="74"/>
      <c r="AB17" s="74"/>
    </row>
    <row r="18" spans="1:28" ht="30" customHeight="1">
      <c r="A18" s="86">
        <f t="shared" si="0"/>
        <v>8</v>
      </c>
      <c r="B18" s="298" t="s">
        <v>365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199"/>
      <c r="Q18" s="299">
        <f>Return!S88+Return!S89</f>
        <v>19000</v>
      </c>
      <c r="R18" s="234"/>
      <c r="S18" s="234"/>
      <c r="T18" s="235"/>
      <c r="U18" s="283"/>
      <c r="V18" s="203"/>
      <c r="W18" s="203"/>
      <c r="X18" s="199"/>
      <c r="Y18" s="74"/>
      <c r="Z18" s="74"/>
      <c r="AA18" s="74"/>
      <c r="AB18" s="74"/>
    </row>
    <row r="19" spans="1:28" ht="19.5" customHeight="1">
      <c r="A19" s="86">
        <f t="shared" si="0"/>
        <v>9</v>
      </c>
      <c r="B19" s="285" t="s">
        <v>366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199"/>
      <c r="Q19" s="295">
        <f>400000*10%</f>
        <v>40000</v>
      </c>
      <c r="R19" s="203"/>
      <c r="S19" s="203"/>
      <c r="T19" s="199"/>
      <c r="U19" s="283"/>
      <c r="V19" s="203"/>
      <c r="W19" s="203"/>
      <c r="X19" s="199"/>
      <c r="Y19" s="74"/>
      <c r="Z19" s="74"/>
      <c r="AA19" s="74"/>
      <c r="AB19" s="74"/>
    </row>
    <row r="20" spans="1:28" ht="14.25" customHeight="1">
      <c r="A20" s="300" t="s">
        <v>230</v>
      </c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199"/>
      <c r="Q20" s="297">
        <f>SUM(Q11:T19)</f>
        <v>197500</v>
      </c>
      <c r="R20" s="203"/>
      <c r="S20" s="203"/>
      <c r="T20" s="199"/>
      <c r="U20" s="283"/>
      <c r="V20" s="203"/>
      <c r="W20" s="203"/>
      <c r="X20" s="199"/>
      <c r="Y20" s="74"/>
      <c r="Z20" s="74"/>
      <c r="AA20" s="74"/>
      <c r="AB20" s="74"/>
    </row>
    <row r="21" spans="1:28" ht="14.2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"/>
      <c r="U21" s="10"/>
      <c r="V21" s="10"/>
      <c r="W21" s="10"/>
      <c r="X21" s="10"/>
      <c r="Y21" s="74"/>
      <c r="Z21" s="74"/>
      <c r="AA21" s="74"/>
      <c r="AB21" s="74"/>
    </row>
    <row r="22" spans="1:28" ht="14.2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"/>
      <c r="U22" s="10"/>
      <c r="V22" s="10"/>
      <c r="W22" s="10"/>
      <c r="X22" s="10"/>
      <c r="Y22" s="74"/>
      <c r="Z22" s="74"/>
      <c r="AA22" s="74"/>
      <c r="AB22" s="74"/>
    </row>
    <row r="23" spans="1:28" ht="14.25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"/>
      <c r="U23" s="10"/>
      <c r="V23" s="10"/>
      <c r="W23" s="10"/>
      <c r="X23" s="10"/>
      <c r="Y23" s="74"/>
      <c r="Z23" s="74"/>
      <c r="AA23" s="74"/>
      <c r="AB23" s="74"/>
    </row>
    <row r="24" spans="1:28" ht="14.25" customHeight="1">
      <c r="A24" s="9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"/>
      <c r="U24" s="10"/>
      <c r="V24" s="10"/>
      <c r="W24" s="10"/>
      <c r="X24" s="10"/>
      <c r="Y24" s="74"/>
      <c r="Z24" s="74"/>
      <c r="AA24" s="74"/>
      <c r="AB24" s="74"/>
    </row>
    <row r="25" spans="1:28" ht="18.75" customHeight="1">
      <c r="A25" s="243" t="s">
        <v>87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10"/>
      <c r="Z25" s="110"/>
      <c r="AA25" s="110"/>
      <c r="AB25" s="110"/>
    </row>
    <row r="26" spans="1:28" ht="18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110"/>
      <c r="Z26" s="110"/>
      <c r="AA26" s="110"/>
      <c r="AB26" s="110"/>
    </row>
    <row r="27" spans="1:28" ht="18.75" customHeight="1">
      <c r="A27" s="3"/>
      <c r="B27" s="245" t="s">
        <v>367</v>
      </c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11"/>
      <c r="Z27" s="111"/>
      <c r="AA27" s="111"/>
      <c r="AB27" s="111"/>
    </row>
    <row r="28" spans="1:28" ht="14.25" customHeight="1">
      <c r="A28" s="3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54"/>
      <c r="Z28" s="54"/>
      <c r="AA28" s="54"/>
      <c r="AB28" s="54"/>
    </row>
    <row r="29" spans="1:28" ht="14.25" customHeight="1">
      <c r="A29" s="3"/>
      <c r="B29" s="29"/>
      <c r="C29" s="54"/>
      <c r="D29" s="54"/>
      <c r="E29" s="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ht="14.25" customHeight="1">
      <c r="A30" s="3"/>
      <c r="B30" s="4"/>
      <c r="C30" s="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spans="1:28" ht="13.5" customHeight="1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7"/>
      <c r="Q33" s="217" t="s">
        <v>368</v>
      </c>
      <c r="R33" s="198"/>
      <c r="S33" s="198"/>
      <c r="T33" s="198"/>
      <c r="U33" s="198"/>
      <c r="V33" s="198"/>
      <c r="W33" s="198"/>
      <c r="X33" s="198"/>
      <c r="Y33" s="3"/>
      <c r="Z33" s="3"/>
      <c r="AA33" s="3"/>
      <c r="AB33" s="3"/>
    </row>
    <row r="34" spans="1:28" ht="14.25" customHeight="1">
      <c r="A34" s="98"/>
      <c r="B34" s="99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ht="14.25" customHeight="1">
      <c r="A35" s="100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4.25" customHeight="1">
      <c r="A36" s="100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ht="14.25" customHeight="1">
      <c r="A37" s="100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4.25" customHeight="1">
      <c r="A38" s="100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4.25" customHeight="1">
      <c r="A39" s="100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ht="14.25" customHeight="1">
      <c r="A40" s="100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ht="14.25" customHeight="1">
      <c r="A41" s="100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ht="14.25" customHeight="1">
      <c r="A42" s="100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ht="14.25" customHeight="1">
      <c r="A43" s="100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ht="14.25" customHeight="1">
      <c r="A44" s="100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4.25" customHeight="1">
      <c r="A45" s="100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4.25" customHeight="1">
      <c r="A46" s="100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4.25" customHeight="1">
      <c r="A47" s="100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4.25" customHeight="1">
      <c r="A48" s="100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ht="14.25" customHeight="1">
      <c r="A49" s="100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ht="14.25" customHeight="1">
      <c r="A50" s="100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4.25" customHeight="1">
      <c r="A51" s="100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4.25" customHeight="1">
      <c r="A52" s="100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4.25" customHeight="1">
      <c r="A53" s="100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spans="1:28" ht="14.25" customHeight="1">
      <c r="A54" s="100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4.25" customHeight="1">
      <c r="A55" s="100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ht="14.25" customHeight="1">
      <c r="A56" s="100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spans="1:28" ht="14.25" customHeight="1">
      <c r="A57" s="100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4.25" customHeight="1">
      <c r="A58" s="100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4.25" customHeight="1">
      <c r="A59" s="100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4.25" customHeight="1">
      <c r="A60" s="100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4.25" customHeight="1">
      <c r="A61" s="100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ht="14.25" customHeight="1">
      <c r="A62" s="100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4.25" customHeight="1">
      <c r="A63" s="100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4.25" customHeight="1">
      <c r="A64" s="100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ht="14.25" customHeight="1">
      <c r="A65" s="100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4.25" customHeight="1">
      <c r="A66" s="100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4.25" customHeight="1">
      <c r="A67" s="10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4.25" customHeight="1">
      <c r="A68" s="100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4.25" customHeight="1">
      <c r="A69" s="100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4.25" customHeight="1">
      <c r="A70" s="100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4.25" customHeight="1">
      <c r="A71" s="100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ht="14.25" customHeight="1">
      <c r="A72" s="100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ht="14.25" customHeight="1">
      <c r="A73" s="100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4.25" customHeight="1">
      <c r="A74" s="100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4.25" customHeight="1">
      <c r="A75" s="100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4.25" customHeight="1">
      <c r="A76" s="100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ht="14.25" customHeight="1">
      <c r="A77" s="100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4.25" customHeight="1">
      <c r="A78" s="100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4.25" customHeight="1">
      <c r="A79" s="100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ht="14.25" customHeight="1">
      <c r="A80" s="100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ht="14.25" customHeight="1">
      <c r="A81" s="100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1:28" ht="14.25" customHeight="1">
      <c r="A82" s="100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4.25" customHeight="1">
      <c r="A83" s="100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4.25" customHeight="1">
      <c r="A84" s="100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4.25" customHeight="1">
      <c r="A85" s="100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1:28" ht="14.25" customHeight="1">
      <c r="A86" s="100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4.25" customHeight="1">
      <c r="A87" s="100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4.25" customHeight="1">
      <c r="A88" s="100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1:28" ht="14.25" customHeight="1">
      <c r="A89" s="100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ht="14.25" customHeight="1">
      <c r="A90" s="100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1:28" ht="14.25" customHeight="1">
      <c r="A91" s="100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4.25" customHeight="1">
      <c r="A92" s="100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4.25" customHeight="1">
      <c r="A93" s="100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4.25" customHeight="1">
      <c r="A94" s="100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4.25" customHeight="1">
      <c r="A95" s="100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4.25" customHeight="1">
      <c r="A96" s="100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4.25" customHeight="1">
      <c r="A97" s="100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4.25" customHeight="1">
      <c r="A98" s="100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1:28" ht="14.25" customHeight="1">
      <c r="A99" s="100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ht="14.25" customHeight="1">
      <c r="A100" s="100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1:28" ht="14.25" customHeight="1">
      <c r="A101" s="100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4.25" customHeight="1">
      <c r="A102" s="100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4.25" customHeight="1">
      <c r="A103" s="100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4.25" customHeight="1">
      <c r="A104" s="100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ht="14.25" customHeight="1">
      <c r="A105" s="100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 ht="14.25" customHeight="1">
      <c r="A106" s="100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4.25" customHeight="1">
      <c r="A107" s="100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4.25" customHeight="1">
      <c r="A108" s="100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4.25" customHeight="1">
      <c r="A109" s="100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1:28" ht="14.25" customHeight="1">
      <c r="A110" s="100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4.25" customHeight="1">
      <c r="A111" s="100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ht="14.25" customHeight="1">
      <c r="A112" s="100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1:28" ht="14.25" customHeight="1">
      <c r="A113" s="100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4.25" customHeight="1">
      <c r="A114" s="100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4.25" customHeight="1">
      <c r="A115" s="100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4.25" customHeight="1">
      <c r="A116" s="100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4.25" customHeight="1">
      <c r="A117" s="100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1:28" ht="14.25" customHeight="1">
      <c r="A118" s="100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ht="14.25" customHeight="1">
      <c r="A119" s="100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1:28" ht="14.25" customHeight="1">
      <c r="A120" s="100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4.25" customHeight="1">
      <c r="A121" s="100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4.25" customHeight="1">
      <c r="A122" s="100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4.25" customHeight="1">
      <c r="A123" s="100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4.25" customHeight="1">
      <c r="A124" s="100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1:28" ht="14.25" customHeight="1">
      <c r="A125" s="100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4.25" customHeight="1">
      <c r="A126" s="100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ht="14.25" customHeight="1">
      <c r="A127" s="100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4.25" customHeight="1">
      <c r="A128" s="100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4.25" customHeight="1">
      <c r="A129" s="100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4.25" customHeight="1">
      <c r="A130" s="100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4.25" customHeight="1">
      <c r="A131" s="100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1:28" ht="14.25" customHeight="1">
      <c r="A132" s="100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4.25" customHeight="1">
      <c r="A133" s="100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ht="14.25" customHeight="1">
      <c r="A134" s="100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1:28" ht="14.25" customHeight="1">
      <c r="A135" s="100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4.25" customHeight="1">
      <c r="A136" s="100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4.25" customHeight="1">
      <c r="A137" s="100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4.25" customHeight="1">
      <c r="A138" s="100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4.25" customHeight="1">
      <c r="A139" s="100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4.25" customHeight="1">
      <c r="A140" s="100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4.25" customHeight="1">
      <c r="A141" s="100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ht="14.25" customHeight="1">
      <c r="A142" s="100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1:28" ht="14.25" customHeight="1">
      <c r="A143" s="100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4.25" customHeight="1">
      <c r="A144" s="100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4.25" customHeight="1">
      <c r="A145" s="100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4.25" customHeight="1">
      <c r="A146" s="100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1:28" ht="14.25" customHeight="1">
      <c r="A147" s="100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4.25" customHeight="1">
      <c r="A148" s="100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 ht="14.25" customHeight="1">
      <c r="A149" s="100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 ht="14.25" customHeight="1">
      <c r="A150" s="100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 ht="14.25" customHeight="1">
      <c r="A151" s="100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 ht="14.25" customHeight="1">
      <c r="A152" s="10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4.25" customHeight="1">
      <c r="A153" s="100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 ht="14.25" customHeight="1">
      <c r="A154" s="100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 ht="14.25" customHeight="1">
      <c r="A155" s="100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 ht="14.25" customHeight="1">
      <c r="A156" s="100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 ht="14.25" customHeight="1">
      <c r="A157" s="100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4.25" customHeight="1">
      <c r="A158" s="100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 ht="14.25" customHeight="1">
      <c r="A159" s="100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4.25" customHeight="1">
      <c r="A160" s="100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1:28" ht="14.25" customHeight="1">
      <c r="A161" s="100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1:28" ht="14.25" customHeight="1">
      <c r="A162" s="100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1:28" ht="14.25" customHeight="1">
      <c r="A163" s="100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1:28" ht="14.25" customHeight="1">
      <c r="A164" s="100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1:28" ht="14.25" customHeight="1">
      <c r="A165" s="100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1:28" ht="14.25" customHeight="1">
      <c r="A166" s="100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1:28" ht="14.25" customHeight="1">
      <c r="A167" s="100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1:28" ht="14.25" customHeight="1">
      <c r="A168" s="100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1:28" ht="14.25" customHeight="1">
      <c r="A169" s="100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1:28" ht="14.25" customHeight="1">
      <c r="A170" s="100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1:28" ht="14.25" customHeight="1">
      <c r="A171" s="100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1:28" ht="14.25" customHeight="1">
      <c r="A172" s="100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1:28" ht="14.25" customHeight="1">
      <c r="A173" s="100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1:28" ht="14.25" customHeight="1">
      <c r="A174" s="100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1:28" ht="14.25" customHeight="1">
      <c r="A175" s="100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1:28" ht="14.25" customHeight="1">
      <c r="A176" s="100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1:28" ht="14.25" customHeight="1">
      <c r="A177" s="100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1:28" ht="14.25" customHeight="1">
      <c r="A178" s="100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1:28" ht="14.25" customHeight="1">
      <c r="A179" s="100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1:28" ht="14.25" customHeight="1">
      <c r="A180" s="100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1:28" ht="14.25" customHeight="1">
      <c r="A181" s="100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1:28" ht="14.25" customHeight="1">
      <c r="A182" s="100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1:28" ht="14.25" customHeight="1">
      <c r="A183" s="100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 ht="14.25" customHeight="1">
      <c r="A184" s="100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1:28" ht="14.25" customHeight="1">
      <c r="A185" s="100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1:28" ht="14.25" customHeight="1">
      <c r="A186" s="100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1:28" ht="14.25" customHeight="1">
      <c r="A187" s="100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1:28" ht="14.25" customHeight="1">
      <c r="A188" s="100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1:28" ht="14.25" customHeight="1">
      <c r="A189" s="100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4.25" customHeight="1">
      <c r="A190" s="100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1:28" ht="14.25" customHeight="1">
      <c r="A191" s="100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1:28" ht="14.25" customHeight="1">
      <c r="A192" s="100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1:28" ht="14.25" customHeight="1">
      <c r="A193" s="100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1:28" ht="14.25" customHeight="1">
      <c r="A194" s="100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1:28" ht="14.25" customHeight="1">
      <c r="A195" s="100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1:28" ht="14.25" customHeight="1">
      <c r="A196" s="100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1:28" ht="14.25" customHeight="1">
      <c r="A197" s="100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1:28" ht="14.25" customHeight="1">
      <c r="A198" s="100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1:28" ht="14.25" customHeight="1">
      <c r="A199" s="100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1:28" ht="14.25" customHeight="1">
      <c r="A200" s="100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1:28" ht="14.25" customHeight="1">
      <c r="A201" s="100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1:28" ht="14.25" customHeight="1">
      <c r="A202" s="100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1:28" ht="14.25" customHeight="1">
      <c r="A203" s="100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1:28" ht="14.25" customHeight="1">
      <c r="A204" s="100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1:28" ht="14.25" customHeight="1">
      <c r="A205" s="100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1:28" ht="14.25" customHeight="1">
      <c r="A206" s="100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1:28" ht="14.25" customHeight="1">
      <c r="A207" s="100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1:28" ht="14.25" customHeight="1">
      <c r="A208" s="100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1:28" ht="14.25" customHeight="1">
      <c r="A209" s="100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1:28" ht="14.25" customHeight="1">
      <c r="A210" s="100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1:28" ht="14.25" customHeight="1">
      <c r="A211" s="100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1:28" ht="14.25" customHeight="1">
      <c r="A212" s="100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4.25" customHeight="1">
      <c r="A213" s="100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1:28" ht="14.25" customHeight="1">
      <c r="A214" s="100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1:28" ht="14.25" customHeight="1">
      <c r="A215" s="100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1:28" ht="14.25" customHeight="1">
      <c r="A216" s="100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1:28" ht="14.25" customHeight="1">
      <c r="A217" s="100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1:28" ht="14.25" customHeight="1">
      <c r="A218" s="100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1:28" ht="14.25" customHeight="1">
      <c r="A219" s="100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4.25" customHeight="1">
      <c r="A220" s="100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1:28" ht="14.25" customHeight="1">
      <c r="A221" s="100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4.25" customHeight="1">
      <c r="A222" s="100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1:28" ht="14.25" customHeight="1">
      <c r="A223" s="100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1:28" ht="14.25" customHeight="1">
      <c r="A224" s="100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1:28" ht="14.25" customHeight="1">
      <c r="A225" s="100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1:28" ht="14.25" customHeight="1">
      <c r="A226" s="100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1:28" ht="14.25" customHeight="1">
      <c r="A227" s="100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1:28" ht="14.25" customHeight="1">
      <c r="A228" s="100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1:28" ht="14.25" customHeight="1">
      <c r="A229" s="100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1:28" ht="14.25" customHeight="1">
      <c r="A230" s="100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1:28" ht="14.25" customHeight="1">
      <c r="A231" s="100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1:28" ht="14.25" customHeight="1">
      <c r="A232" s="100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1:28" ht="14.25" customHeight="1">
      <c r="A233" s="100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5:X25"/>
    <mergeCell ref="B27:X28"/>
    <mergeCell ref="Q33:X33"/>
    <mergeCell ref="Q17:T17"/>
    <mergeCell ref="U17:X17"/>
    <mergeCell ref="B17:P17"/>
    <mergeCell ref="Q20:T20"/>
    <mergeCell ref="U20:X20"/>
    <mergeCell ref="B18:P18"/>
    <mergeCell ref="Q18:T18"/>
    <mergeCell ref="U18:X18"/>
    <mergeCell ref="B19:P19"/>
    <mergeCell ref="Q19:T19"/>
    <mergeCell ref="U19:X19"/>
    <mergeCell ref="A20:P20"/>
    <mergeCell ref="B15:P15"/>
    <mergeCell ref="Q15:T15"/>
    <mergeCell ref="U15:X15"/>
    <mergeCell ref="B16:P16"/>
    <mergeCell ref="Q16:T16"/>
    <mergeCell ref="U16:X16"/>
    <mergeCell ref="Q14:T14"/>
    <mergeCell ref="U14:X14"/>
    <mergeCell ref="B12:P12"/>
    <mergeCell ref="Q12:T12"/>
    <mergeCell ref="U12:X12"/>
    <mergeCell ref="B13:P13"/>
    <mergeCell ref="Q13:T13"/>
    <mergeCell ref="U13:X13"/>
    <mergeCell ref="B14:P14"/>
    <mergeCell ref="Q11:T11"/>
    <mergeCell ref="U11:X11"/>
    <mergeCell ref="A3:X3"/>
    <mergeCell ref="A4:X4"/>
    <mergeCell ref="G6:V6"/>
    <mergeCell ref="B10:P10"/>
    <mergeCell ref="Q10:T10"/>
    <mergeCell ref="U10:X10"/>
    <mergeCell ref="B11:P11"/>
  </mergeCells>
  <conditionalFormatting sqref="G6">
    <cfRule type="containsBlanks" dxfId="1" priority="1" stopIfTrue="1">
      <formula>LEN(TRIM(G6))=0</formula>
    </cfRule>
  </conditionalFormatting>
  <pageMargins left="0.45" right="0" top="0.75" bottom="0.75" header="0" footer="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76"/>
  <sheetViews>
    <sheetView showGridLines="0" topLeftCell="A58" workbookViewId="0">
      <selection activeCell="X81" sqref="X81"/>
    </sheetView>
  </sheetViews>
  <sheetFormatPr defaultColWidth="14.42578125" defaultRowHeight="15" customHeight="1"/>
  <cols>
    <col min="1" max="1" width="3.85546875" customWidth="1"/>
    <col min="2" max="2" width="3.42578125" customWidth="1"/>
    <col min="3" max="4" width="3.85546875" customWidth="1"/>
    <col min="5" max="5" width="22" customWidth="1"/>
    <col min="6" max="6" width="3.7109375" customWidth="1"/>
    <col min="7" max="7" width="3.5703125" customWidth="1"/>
    <col min="8" max="8" width="4" customWidth="1"/>
    <col min="9" max="9" width="4.140625" customWidth="1"/>
    <col min="10" max="10" width="4.85546875" customWidth="1"/>
    <col min="11" max="11" width="3.140625" customWidth="1"/>
    <col min="12" max="12" width="4" customWidth="1"/>
    <col min="13" max="13" width="4.28515625" customWidth="1"/>
    <col min="14" max="14" width="4.7109375" customWidth="1"/>
    <col min="15" max="15" width="3.28515625" customWidth="1"/>
    <col min="16" max="16" width="3.85546875" customWidth="1"/>
    <col min="17" max="17" width="5.28515625" customWidth="1"/>
    <col min="18" max="18" width="3.5703125" customWidth="1"/>
    <col min="19" max="19" width="3.85546875" customWidth="1"/>
    <col min="20" max="21" width="4" customWidth="1"/>
    <col min="22" max="22" width="3" customWidth="1"/>
    <col min="23" max="23" width="7.85546875" customWidth="1"/>
    <col min="24" max="24" width="21.5703125" customWidth="1"/>
    <col min="25" max="28" width="9.140625" customWidth="1"/>
  </cols>
  <sheetData>
    <row r="1" spans="1:28" ht="13.5" customHeight="1">
      <c r="A1" s="201" t="s">
        <v>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2"/>
      <c r="Y1" s="2"/>
      <c r="Z1" s="2"/>
      <c r="AA1" s="2"/>
      <c r="AB1" s="2"/>
    </row>
    <row r="2" spans="1:28" ht="13.5" customHeight="1">
      <c r="A2" s="243" t="s">
        <v>8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2"/>
      <c r="Y2" s="2"/>
      <c r="Z2" s="2"/>
      <c r="AA2" s="2"/>
      <c r="AB2" s="2"/>
    </row>
    <row r="3" spans="1:28" ht="13.5" customHeight="1">
      <c r="A3" s="21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/>
      <c r="T3" s="2"/>
      <c r="U3" s="2"/>
      <c r="V3" s="71" t="s">
        <v>369</v>
      </c>
      <c r="W3" s="2"/>
      <c r="X3" s="2"/>
      <c r="Y3" s="2"/>
      <c r="Z3" s="2"/>
      <c r="AA3" s="2"/>
      <c r="AB3" s="2"/>
    </row>
    <row r="4" spans="1:28" ht="13.5" customHeight="1">
      <c r="A4" s="301" t="s">
        <v>370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2"/>
      <c r="Y4" s="2"/>
      <c r="Z4" s="2"/>
      <c r="AA4" s="2"/>
      <c r="AB4" s="2"/>
    </row>
    <row r="5" spans="1:28" ht="13.5" customHeight="1">
      <c r="A5" s="21"/>
      <c r="B5" s="104"/>
      <c r="C5" s="104"/>
      <c r="D5" s="104"/>
      <c r="E5" s="104"/>
      <c r="F5" s="104"/>
      <c r="G5" s="104"/>
      <c r="H5" s="104"/>
      <c r="I5" s="104"/>
      <c r="J5" s="104" t="s">
        <v>371</v>
      </c>
      <c r="K5" s="104"/>
      <c r="L5" s="302">
        <f>Return!R51</f>
        <v>45473</v>
      </c>
      <c r="M5" s="198"/>
      <c r="N5" s="198"/>
      <c r="O5" s="198"/>
      <c r="P5" s="198"/>
      <c r="Q5" s="198"/>
      <c r="R5" s="104"/>
      <c r="S5" s="104"/>
      <c r="T5" s="104"/>
      <c r="U5" s="104"/>
      <c r="V5" s="104"/>
      <c r="W5" s="104"/>
      <c r="X5" s="2"/>
      <c r="Y5" s="2"/>
      <c r="Z5" s="2"/>
      <c r="AA5" s="2"/>
      <c r="AB5" s="2"/>
    </row>
    <row r="6" spans="1:28" ht="13.5" customHeight="1">
      <c r="A6" s="112"/>
      <c r="B6" s="11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3.5" customHeight="1">
      <c r="A7" s="241" t="s">
        <v>372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7"/>
      <c r="X7" s="2"/>
      <c r="Y7" s="2"/>
      <c r="Z7" s="2"/>
      <c r="AA7" s="2"/>
      <c r="AB7" s="2"/>
    </row>
    <row r="8" spans="1:28" ht="21" customHeight="1">
      <c r="A8" s="49">
        <v>1</v>
      </c>
      <c r="B8" s="3" t="s">
        <v>373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0"/>
      <c r="X8" s="2"/>
      <c r="Y8" s="2"/>
      <c r="Z8" s="2"/>
      <c r="AA8" s="2"/>
      <c r="AB8" s="2"/>
    </row>
    <row r="9" spans="1:28" ht="21.75" customHeight="1">
      <c r="A9" s="49">
        <v>2</v>
      </c>
      <c r="B9" s="3" t="s">
        <v>374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14"/>
      <c r="X9" s="2"/>
      <c r="Y9" s="2"/>
      <c r="Z9" s="2"/>
      <c r="AA9" s="2"/>
      <c r="AB9" s="2"/>
    </row>
    <row r="10" spans="1:28" ht="19.5" customHeight="1">
      <c r="A10" s="49">
        <v>3</v>
      </c>
      <c r="B10" s="245" t="s">
        <v>375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212"/>
      <c r="X10" s="2"/>
      <c r="Y10" s="2"/>
      <c r="Z10" s="2"/>
      <c r="AA10" s="2"/>
      <c r="AB10" s="2"/>
    </row>
    <row r="11" spans="1:28" ht="19.5" customHeight="1">
      <c r="A11" s="49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212"/>
      <c r="X11" s="2"/>
      <c r="Y11" s="2"/>
      <c r="Z11" s="2"/>
      <c r="AA11" s="2"/>
      <c r="AB11" s="2"/>
    </row>
    <row r="12" spans="1:28" ht="15" customHeight="1">
      <c r="A12" s="49"/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212"/>
      <c r="X12" s="2"/>
      <c r="Y12" s="2"/>
      <c r="Z12" s="2"/>
      <c r="AA12" s="2"/>
      <c r="AB12" s="2"/>
    </row>
    <row r="13" spans="1:28" ht="18" customHeight="1">
      <c r="A13" s="49">
        <v>4</v>
      </c>
      <c r="B13" s="275" t="s">
        <v>376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212"/>
      <c r="X13" s="2"/>
      <c r="Y13" s="2"/>
      <c r="Z13" s="2"/>
      <c r="AA13" s="2"/>
      <c r="AB13" s="2"/>
    </row>
    <row r="14" spans="1:28" ht="20.25" customHeight="1">
      <c r="A14" s="52"/>
      <c r="B14" s="229"/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30"/>
      <c r="X14" s="2"/>
      <c r="Y14" s="2"/>
      <c r="Z14" s="2"/>
      <c r="AA14" s="2"/>
      <c r="AB14" s="2"/>
    </row>
    <row r="15" spans="1:28" ht="13.5" customHeight="1">
      <c r="A15" s="2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"/>
      <c r="Y15" s="2"/>
      <c r="Z15" s="2"/>
      <c r="AA15" s="2"/>
      <c r="AB15" s="2"/>
    </row>
    <row r="16" spans="1:28" ht="13.5" customHeight="1">
      <c r="A16" s="16" t="s">
        <v>16</v>
      </c>
      <c r="B16" s="6"/>
      <c r="C16" s="3"/>
      <c r="D16" s="3"/>
      <c r="E16" s="3"/>
      <c r="F16" s="3"/>
      <c r="G16" s="210" t="str">
        <f>Return!H8</f>
        <v>Samiul Bashar</v>
      </c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0"/>
      <c r="X16" s="10"/>
      <c r="Y16" s="70"/>
      <c r="Z16" s="70"/>
      <c r="AA16" s="70"/>
      <c r="AB16" s="70"/>
    </row>
    <row r="17" spans="1:28" ht="13.5" customHeight="1">
      <c r="A17" s="71"/>
      <c r="B17" s="54"/>
      <c r="C17" s="54"/>
      <c r="D17" s="54"/>
      <c r="E17" s="54"/>
      <c r="F17" s="54"/>
      <c r="G17" s="54"/>
      <c r="H17" s="70"/>
      <c r="I17" s="4"/>
      <c r="J17" s="4" t="s">
        <v>53</v>
      </c>
      <c r="K17" s="70"/>
      <c r="L17" s="31">
        <f>Return!F12</f>
        <v>1</v>
      </c>
      <c r="M17" s="31">
        <f>Return!G12</f>
        <v>2</v>
      </c>
      <c r="N17" s="31">
        <f>Return!H12</f>
        <v>3</v>
      </c>
      <c r="O17" s="31" t="str">
        <f>Return!I12</f>
        <v>-</v>
      </c>
      <c r="P17" s="31">
        <f>Return!J12</f>
        <v>4</v>
      </c>
      <c r="Q17" s="31">
        <f>Return!K12</f>
        <v>5</v>
      </c>
      <c r="R17" s="31">
        <f>Return!L12</f>
        <v>6</v>
      </c>
      <c r="S17" s="31" t="str">
        <f>Return!M12</f>
        <v>-</v>
      </c>
      <c r="T17" s="31">
        <f>Return!N12</f>
        <v>7</v>
      </c>
      <c r="U17" s="31">
        <f>Return!O12</f>
        <v>8</v>
      </c>
      <c r="V17" s="31">
        <f>Return!P12</f>
        <v>9</v>
      </c>
      <c r="W17" s="55">
        <f>Return!Q12</f>
        <v>0</v>
      </c>
      <c r="X17" s="70"/>
      <c r="Y17" s="70"/>
      <c r="Z17" s="70"/>
      <c r="AA17" s="70"/>
      <c r="AB17" s="70"/>
    </row>
    <row r="18" spans="1:28" ht="13.5" customHeight="1">
      <c r="A18" s="21"/>
      <c r="B18" s="21"/>
      <c r="C18" s="57"/>
      <c r="D18" s="57"/>
      <c r="E18" s="29"/>
      <c r="F18" s="29"/>
      <c r="G18" s="29"/>
      <c r="H18" s="29"/>
      <c r="I18" s="29"/>
      <c r="J18" s="29"/>
      <c r="K18" s="29"/>
      <c r="L18" s="29"/>
      <c r="M18" s="38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29"/>
      <c r="Y18" s="29"/>
      <c r="Z18" s="29"/>
      <c r="AA18" s="29"/>
      <c r="AB18" s="29"/>
    </row>
    <row r="19" spans="1:28" ht="15" customHeight="1">
      <c r="A19" s="116">
        <v>1</v>
      </c>
      <c r="B19" s="117" t="s">
        <v>377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303" t="s">
        <v>378</v>
      </c>
      <c r="R19" s="203"/>
      <c r="S19" s="203"/>
      <c r="T19" s="203"/>
      <c r="U19" s="304" t="s">
        <v>378</v>
      </c>
      <c r="V19" s="203"/>
      <c r="W19" s="199"/>
      <c r="X19" s="2"/>
      <c r="Y19" s="2"/>
      <c r="Z19" s="2"/>
      <c r="AA19" s="2"/>
      <c r="AB19" s="2"/>
    </row>
    <row r="20" spans="1:28" ht="15" customHeight="1">
      <c r="A20" s="116"/>
      <c r="B20" s="118" t="s">
        <v>242</v>
      </c>
      <c r="C20" s="35" t="s">
        <v>379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202">
        <f>Return!X68</f>
        <v>5382966.6666666679</v>
      </c>
      <c r="R20" s="203"/>
      <c r="S20" s="203"/>
      <c r="T20" s="203"/>
      <c r="U20" s="37"/>
      <c r="V20" s="119"/>
      <c r="W20" s="120"/>
      <c r="X20" s="2"/>
      <c r="Y20" s="2"/>
      <c r="Z20" s="2"/>
      <c r="AA20" s="2"/>
      <c r="AB20" s="2"/>
    </row>
    <row r="21" spans="1:28" ht="15" customHeight="1">
      <c r="A21" s="116"/>
      <c r="B21" s="118" t="s">
        <v>244</v>
      </c>
      <c r="C21" s="35" t="s">
        <v>380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118"/>
      <c r="Q21" s="202">
        <f>Return!X95</f>
        <v>25418133.333333332</v>
      </c>
      <c r="R21" s="203"/>
      <c r="S21" s="203"/>
      <c r="T21" s="203"/>
      <c r="U21" s="37"/>
      <c r="V21" s="119"/>
      <c r="W21" s="120"/>
      <c r="X21" s="2"/>
      <c r="Y21" s="2"/>
      <c r="Z21" s="2"/>
      <c r="AA21" s="2"/>
      <c r="AB21" s="2"/>
    </row>
    <row r="22" spans="1:28" ht="15" customHeight="1">
      <c r="A22" s="116"/>
      <c r="B22" s="118" t="s">
        <v>244</v>
      </c>
      <c r="C22" s="35" t="s">
        <v>381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118"/>
      <c r="Q22" s="202">
        <v>0</v>
      </c>
      <c r="R22" s="203"/>
      <c r="S22" s="203"/>
      <c r="T22" s="203"/>
      <c r="U22" s="37"/>
      <c r="V22" s="119"/>
      <c r="W22" s="120"/>
      <c r="X22" s="2"/>
      <c r="Y22" s="2"/>
      <c r="Z22" s="2"/>
      <c r="AA22" s="2"/>
      <c r="AB22" s="2"/>
    </row>
    <row r="23" spans="1:28" ht="15" customHeight="1">
      <c r="A23" s="116"/>
      <c r="B23" s="118"/>
      <c r="C23" s="35"/>
      <c r="D23" s="35"/>
      <c r="E23" s="35"/>
      <c r="F23" s="35"/>
      <c r="G23" s="35"/>
      <c r="H23" s="35"/>
      <c r="I23" s="35"/>
      <c r="J23" s="117" t="s">
        <v>382</v>
      </c>
      <c r="K23" s="35"/>
      <c r="L23" s="35"/>
      <c r="M23" s="121"/>
      <c r="N23" s="35"/>
      <c r="O23" s="35"/>
      <c r="P23" s="35"/>
      <c r="Q23" s="39"/>
      <c r="R23" s="122"/>
      <c r="S23" s="123"/>
      <c r="T23" s="124"/>
      <c r="U23" s="305">
        <f>SUM(Q20:T22)</f>
        <v>30801100</v>
      </c>
      <c r="V23" s="203"/>
      <c r="W23" s="199"/>
      <c r="X23" s="2"/>
      <c r="Y23" s="2"/>
      <c r="Z23" s="2"/>
      <c r="AA23" s="2"/>
      <c r="AB23" s="2"/>
    </row>
    <row r="24" spans="1:28" ht="15" customHeight="1">
      <c r="A24" s="116">
        <v>2</v>
      </c>
      <c r="B24" s="117" t="s">
        <v>383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6"/>
      <c r="R24" s="126"/>
      <c r="S24" s="123"/>
      <c r="T24" s="124"/>
      <c r="U24" s="306">
        <v>0</v>
      </c>
      <c r="V24" s="203"/>
      <c r="W24" s="199"/>
      <c r="X24" s="2"/>
      <c r="Y24" s="2"/>
      <c r="Z24" s="2"/>
      <c r="AA24" s="2"/>
      <c r="AB24" s="2"/>
    </row>
    <row r="25" spans="1:28" ht="15" customHeight="1">
      <c r="A25" s="116">
        <v>3</v>
      </c>
      <c r="B25" s="127" t="s">
        <v>384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6"/>
      <c r="R25" s="126"/>
      <c r="S25" s="123"/>
      <c r="T25" s="124"/>
      <c r="U25" s="306">
        <f>SUM(T23:W24)</f>
        <v>30801100</v>
      </c>
      <c r="V25" s="203"/>
      <c r="W25" s="199"/>
      <c r="X25" s="2"/>
      <c r="Y25" s="2"/>
      <c r="Z25" s="2"/>
      <c r="AA25" s="2"/>
      <c r="AB25" s="2"/>
    </row>
    <row r="26" spans="1:28" ht="15" customHeight="1">
      <c r="A26" s="116">
        <v>4</v>
      </c>
      <c r="B26" s="118" t="s">
        <v>242</v>
      </c>
      <c r="C26" s="35" t="s">
        <v>385</v>
      </c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224">
        <f>'IT-10BB23'!Q20</f>
        <v>197500</v>
      </c>
      <c r="R26" s="203"/>
      <c r="S26" s="203"/>
      <c r="T26" s="203"/>
      <c r="U26" s="37"/>
      <c r="V26" s="119"/>
      <c r="W26" s="120"/>
      <c r="X26" s="2"/>
      <c r="Y26" s="2"/>
      <c r="Z26" s="2"/>
      <c r="AA26" s="2"/>
      <c r="AB26" s="2"/>
    </row>
    <row r="27" spans="1:28" ht="15" customHeight="1">
      <c r="A27" s="116"/>
      <c r="B27" s="118" t="s">
        <v>244</v>
      </c>
      <c r="C27" s="35" t="s">
        <v>386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118"/>
      <c r="Q27" s="202"/>
      <c r="R27" s="203"/>
      <c r="S27" s="203"/>
      <c r="T27" s="203"/>
      <c r="U27" s="37"/>
      <c r="V27" s="119"/>
      <c r="W27" s="120"/>
      <c r="X27" s="2"/>
      <c r="Y27" s="2"/>
      <c r="Z27" s="2"/>
      <c r="AA27" s="2"/>
      <c r="AB27" s="2"/>
    </row>
    <row r="28" spans="1:28" ht="15" customHeight="1">
      <c r="A28" s="116"/>
      <c r="B28" s="118"/>
      <c r="C28" s="35"/>
      <c r="D28" s="35"/>
      <c r="E28" s="35"/>
      <c r="F28" s="35"/>
      <c r="G28" s="35"/>
      <c r="H28" s="35"/>
      <c r="I28" s="35"/>
      <c r="J28" s="117" t="s">
        <v>387</v>
      </c>
      <c r="K28" s="118"/>
      <c r="L28" s="118"/>
      <c r="M28" s="121"/>
      <c r="N28" s="35"/>
      <c r="O28" s="35"/>
      <c r="P28" s="35"/>
      <c r="Q28" s="39"/>
      <c r="R28" s="122"/>
      <c r="S28" s="123"/>
      <c r="T28" s="124"/>
      <c r="U28" s="305">
        <f>SUM(Q26:T27)</f>
        <v>197500</v>
      </c>
      <c r="V28" s="203"/>
      <c r="W28" s="199"/>
      <c r="X28" s="2"/>
      <c r="Y28" s="2"/>
      <c r="Z28" s="2"/>
      <c r="AA28" s="2"/>
      <c r="AB28" s="2"/>
    </row>
    <row r="29" spans="1:28" ht="15" customHeight="1">
      <c r="A29" s="116">
        <v>5</v>
      </c>
      <c r="B29" s="117" t="s">
        <v>388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6"/>
      <c r="R29" s="126"/>
      <c r="S29" s="126"/>
      <c r="T29" s="124"/>
      <c r="U29" s="307">
        <f>U25-U28</f>
        <v>30603600</v>
      </c>
      <c r="V29" s="203"/>
      <c r="W29" s="199"/>
      <c r="X29" s="2"/>
      <c r="Y29" s="2"/>
      <c r="Z29" s="2"/>
      <c r="AA29" s="2"/>
      <c r="AB29" s="2"/>
    </row>
    <row r="30" spans="1:28" ht="15" customHeight="1">
      <c r="A30" s="116"/>
      <c r="B30" s="117"/>
      <c r="C30" s="128"/>
      <c r="D30" s="12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73"/>
      <c r="R30" s="123"/>
      <c r="S30" s="123"/>
      <c r="T30" s="123"/>
      <c r="U30" s="73"/>
      <c r="V30" s="123"/>
      <c r="W30" s="129"/>
      <c r="X30" s="2"/>
      <c r="Y30" s="2"/>
      <c r="Z30" s="2"/>
      <c r="AA30" s="2"/>
      <c r="AB30" s="2"/>
    </row>
    <row r="31" spans="1:28" ht="15" customHeight="1">
      <c r="A31" s="116">
        <v>6</v>
      </c>
      <c r="B31" s="117" t="s">
        <v>389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30"/>
      <c r="R31" s="131"/>
      <c r="S31" s="131"/>
      <c r="T31" s="132"/>
      <c r="U31" s="125"/>
      <c r="V31" s="132"/>
      <c r="W31" s="133"/>
      <c r="X31" s="2"/>
      <c r="Y31" s="2"/>
      <c r="Z31" s="2"/>
      <c r="AA31" s="2"/>
      <c r="AB31" s="2"/>
    </row>
    <row r="32" spans="1:28" ht="15" customHeight="1">
      <c r="A32" s="116"/>
      <c r="B32" s="117" t="s">
        <v>242</v>
      </c>
      <c r="C32" s="117" t="s">
        <v>390</v>
      </c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34"/>
      <c r="P32" s="135"/>
      <c r="Q32" s="224">
        <v>400000</v>
      </c>
      <c r="R32" s="203"/>
      <c r="S32" s="203"/>
      <c r="T32" s="203"/>
      <c r="U32" s="125"/>
      <c r="V32" s="132"/>
      <c r="W32" s="133"/>
      <c r="X32" s="2"/>
      <c r="Y32" s="2"/>
      <c r="Z32" s="2"/>
      <c r="AA32" s="2"/>
      <c r="AB32" s="2"/>
    </row>
    <row r="33" spans="1:28" ht="15" customHeight="1">
      <c r="A33" s="116"/>
      <c r="B33" s="117" t="s">
        <v>244</v>
      </c>
      <c r="C33" s="117" t="s">
        <v>391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36">
        <f>Return!V107</f>
        <v>0</v>
      </c>
      <c r="P33" s="136"/>
      <c r="Q33" s="37"/>
      <c r="R33" s="119"/>
      <c r="S33" s="123"/>
      <c r="T33" s="132"/>
      <c r="U33" s="125"/>
      <c r="V33" s="132"/>
      <c r="W33" s="133"/>
      <c r="X33" s="2"/>
      <c r="Y33" s="2"/>
      <c r="Z33" s="2"/>
      <c r="AA33" s="2"/>
      <c r="AB33" s="2"/>
    </row>
    <row r="34" spans="1:28" ht="15" customHeight="1">
      <c r="A34" s="116"/>
      <c r="B34" s="117" t="s">
        <v>246</v>
      </c>
      <c r="C34" s="117" t="s">
        <v>392</v>
      </c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36">
        <f>Return!V108</f>
        <v>0</v>
      </c>
      <c r="P34" s="136"/>
      <c r="Q34" s="37"/>
      <c r="R34" s="119"/>
      <c r="S34" s="123"/>
      <c r="T34" s="132"/>
      <c r="U34" s="125"/>
      <c r="V34" s="132"/>
      <c r="W34" s="133"/>
      <c r="X34" s="2"/>
      <c r="Y34" s="2"/>
      <c r="Z34" s="2"/>
      <c r="AA34" s="2"/>
      <c r="AB34" s="2"/>
    </row>
    <row r="35" spans="1:28" ht="15" customHeight="1">
      <c r="A35" s="116"/>
      <c r="B35" s="117"/>
      <c r="C35" s="117"/>
      <c r="D35" s="118"/>
      <c r="E35" s="118"/>
      <c r="F35" s="118"/>
      <c r="G35" s="118"/>
      <c r="H35" s="118"/>
      <c r="I35" s="117" t="s">
        <v>393</v>
      </c>
      <c r="J35" s="134"/>
      <c r="K35" s="121"/>
      <c r="L35" s="118"/>
      <c r="M35" s="118"/>
      <c r="N35" s="35"/>
      <c r="O35" s="35"/>
      <c r="P35" s="35"/>
      <c r="Q35" s="39"/>
      <c r="R35" s="122"/>
      <c r="S35" s="123"/>
      <c r="T35" s="124"/>
      <c r="U35" s="305">
        <f>SUM(O32:R34)</f>
        <v>400000</v>
      </c>
      <c r="V35" s="203"/>
      <c r="W35" s="199"/>
      <c r="X35" s="2"/>
      <c r="Y35" s="2"/>
      <c r="Z35" s="2"/>
      <c r="AA35" s="2"/>
      <c r="AB35" s="2"/>
    </row>
    <row r="36" spans="1:28" ht="15" customHeight="1">
      <c r="A36" s="116">
        <v>7</v>
      </c>
      <c r="B36" s="117" t="s">
        <v>394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6"/>
      <c r="R36" s="126"/>
      <c r="S36" s="123"/>
      <c r="T36" s="124"/>
      <c r="U36" s="308">
        <f>U29+U35</f>
        <v>31003600</v>
      </c>
      <c r="V36" s="203"/>
      <c r="W36" s="199"/>
      <c r="X36" s="2"/>
      <c r="Z36" s="2"/>
      <c r="AA36" s="2"/>
      <c r="AB36" s="2"/>
    </row>
    <row r="37" spans="1:28" ht="15" customHeight="1">
      <c r="A37" s="116">
        <v>8</v>
      </c>
      <c r="B37" s="41" t="s">
        <v>395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73"/>
      <c r="R37" s="123"/>
      <c r="S37" s="123"/>
      <c r="T37" s="132"/>
      <c r="U37" s="125"/>
      <c r="V37" s="132"/>
      <c r="W37" s="133"/>
      <c r="X37" s="2"/>
      <c r="Y37" s="2"/>
      <c r="Z37" s="2"/>
      <c r="AA37" s="2"/>
      <c r="AB37" s="2"/>
    </row>
    <row r="38" spans="1:28" ht="15" customHeight="1">
      <c r="A38" s="137" t="s">
        <v>242</v>
      </c>
      <c r="B38" s="117" t="s">
        <v>396</v>
      </c>
      <c r="C38" s="117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123"/>
      <c r="P38" s="123"/>
      <c r="Q38" s="73"/>
      <c r="R38" s="123"/>
      <c r="S38" s="122"/>
      <c r="T38" s="119"/>
      <c r="U38" s="37"/>
      <c r="V38" s="119"/>
      <c r="W38" s="120"/>
      <c r="X38" s="2"/>
      <c r="Y38" s="2"/>
      <c r="Z38" s="2"/>
      <c r="AA38" s="2"/>
      <c r="AB38" s="2"/>
    </row>
    <row r="39" spans="1:28" ht="15" customHeight="1">
      <c r="A39" s="116"/>
      <c r="B39" s="117" t="s">
        <v>397</v>
      </c>
      <c r="C39" s="117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123"/>
      <c r="P39" s="123"/>
      <c r="Q39" s="73"/>
      <c r="R39" s="123"/>
      <c r="S39" s="122"/>
      <c r="T39" s="123"/>
      <c r="U39" s="37"/>
      <c r="V39" s="119"/>
      <c r="W39" s="120"/>
      <c r="X39" s="2"/>
      <c r="Y39" s="2"/>
      <c r="Z39" s="2"/>
      <c r="AA39" s="2"/>
      <c r="AB39" s="2"/>
    </row>
    <row r="40" spans="1:28" ht="15" customHeight="1">
      <c r="A40" s="137" t="s">
        <v>244</v>
      </c>
      <c r="B40" s="117" t="s">
        <v>398</v>
      </c>
      <c r="C40" s="117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122"/>
      <c r="Q40" s="39"/>
      <c r="R40" s="122"/>
      <c r="S40" s="122"/>
      <c r="T40" s="124"/>
      <c r="U40" s="202">
        <v>0</v>
      </c>
      <c r="V40" s="203"/>
      <c r="W40" s="199"/>
      <c r="X40" s="2"/>
      <c r="Y40" s="2"/>
      <c r="Z40" s="2"/>
      <c r="AA40" s="2"/>
      <c r="AB40" s="2"/>
    </row>
    <row r="41" spans="1:28" ht="15" customHeight="1">
      <c r="A41" s="137" t="s">
        <v>246</v>
      </c>
      <c r="B41" s="117" t="s">
        <v>399</v>
      </c>
      <c r="C41" s="117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122"/>
      <c r="Q41" s="39"/>
      <c r="R41" s="122"/>
      <c r="S41" s="122"/>
      <c r="T41" s="124"/>
      <c r="U41" s="202">
        <v>0</v>
      </c>
      <c r="V41" s="203"/>
      <c r="W41" s="199"/>
      <c r="X41" s="2"/>
      <c r="Y41" s="2"/>
      <c r="Z41" s="2"/>
      <c r="AA41" s="2"/>
      <c r="AB41" s="2"/>
    </row>
    <row r="42" spans="1:28" ht="42.75" customHeight="1">
      <c r="A42" s="138" t="s">
        <v>248</v>
      </c>
      <c r="B42" s="309" t="s">
        <v>400</v>
      </c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310"/>
      <c r="R42" s="226"/>
      <c r="S42" s="226"/>
      <c r="T42" s="227"/>
      <c r="U42" s="225">
        <f>5000000+2000000</f>
        <v>7000000</v>
      </c>
      <c r="V42" s="226"/>
      <c r="W42" s="227"/>
      <c r="X42" s="2"/>
      <c r="Y42" s="2"/>
      <c r="Z42" s="2"/>
      <c r="AA42" s="2"/>
      <c r="AB42" s="2"/>
    </row>
    <row r="43" spans="1:28" ht="28.5" customHeight="1">
      <c r="A43" s="139"/>
      <c r="B43" s="140" t="s">
        <v>401</v>
      </c>
      <c r="C43" s="141"/>
      <c r="D43" s="141"/>
      <c r="E43" s="141"/>
      <c r="F43" s="141"/>
      <c r="G43" s="141"/>
      <c r="H43" s="141"/>
      <c r="I43" s="141"/>
      <c r="J43" s="142" t="s">
        <v>402</v>
      </c>
      <c r="K43" s="141"/>
      <c r="L43" s="141"/>
      <c r="M43" s="141"/>
      <c r="N43" s="69"/>
      <c r="O43" s="141"/>
      <c r="P43" s="141"/>
      <c r="Q43" s="228"/>
      <c r="R43" s="229"/>
      <c r="S43" s="229"/>
      <c r="T43" s="230"/>
      <c r="U43" s="228"/>
      <c r="V43" s="229"/>
      <c r="W43" s="230"/>
      <c r="X43" s="2"/>
      <c r="Y43" s="2"/>
      <c r="Z43" s="2"/>
      <c r="AA43" s="2"/>
      <c r="AB43" s="2"/>
    </row>
    <row r="44" spans="1:28" ht="30" customHeight="1">
      <c r="A44" s="143" t="s">
        <v>250</v>
      </c>
      <c r="B44" s="104" t="s">
        <v>403</v>
      </c>
      <c r="C44" s="10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21"/>
      <c r="Q44" s="310"/>
      <c r="R44" s="226"/>
      <c r="S44" s="226"/>
      <c r="T44" s="227"/>
      <c r="U44" s="225">
        <v>0</v>
      </c>
      <c r="V44" s="226"/>
      <c r="W44" s="227"/>
      <c r="X44" s="2"/>
      <c r="Y44" s="2"/>
      <c r="Z44" s="2"/>
      <c r="AA44" s="2"/>
      <c r="AB44" s="2"/>
    </row>
    <row r="45" spans="1:28" ht="30" customHeight="1">
      <c r="A45" s="144"/>
      <c r="B45" s="140" t="s">
        <v>401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228"/>
      <c r="R45" s="229"/>
      <c r="S45" s="229"/>
      <c r="T45" s="230"/>
      <c r="U45" s="228"/>
      <c r="V45" s="229"/>
      <c r="W45" s="230"/>
      <c r="X45" s="2"/>
      <c r="Y45" s="2"/>
      <c r="Z45" s="2"/>
      <c r="AA45" s="2"/>
      <c r="AB45" s="2"/>
    </row>
    <row r="46" spans="1:28" ht="15" customHeight="1">
      <c r="A46" s="145" t="s">
        <v>252</v>
      </c>
      <c r="B46" s="141" t="s">
        <v>404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4"/>
      <c r="R46" s="139"/>
      <c r="S46" s="139"/>
      <c r="T46" s="146"/>
      <c r="U46" s="147"/>
      <c r="V46" s="146"/>
      <c r="W46" s="148"/>
      <c r="X46" s="2"/>
      <c r="Y46" s="2"/>
      <c r="Z46" s="2"/>
      <c r="AA46" s="2"/>
      <c r="AB46" s="2"/>
    </row>
    <row r="47" spans="1:28" ht="15" customHeight="1">
      <c r="A47" s="116"/>
      <c r="B47" s="117" t="s">
        <v>405</v>
      </c>
      <c r="C47" s="117" t="s">
        <v>406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149"/>
      <c r="O47" s="35"/>
      <c r="P47" s="121"/>
      <c r="Q47" s="305">
        <f>'Sch4-5'!T43</f>
        <v>550000</v>
      </c>
      <c r="R47" s="203"/>
      <c r="S47" s="203"/>
      <c r="T47" s="203"/>
      <c r="U47" s="37"/>
      <c r="V47" s="119"/>
      <c r="W47" s="120"/>
      <c r="X47" s="2"/>
      <c r="Y47" s="2"/>
      <c r="Z47" s="2"/>
      <c r="AA47" s="2"/>
      <c r="AB47" s="2"/>
    </row>
    <row r="48" spans="1:28" ht="15" customHeight="1">
      <c r="A48" s="116"/>
      <c r="B48" s="117" t="s">
        <v>407</v>
      </c>
      <c r="C48" s="117" t="s">
        <v>408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121"/>
      <c r="Q48" s="305">
        <f>'Tax and Rebate Calculation'!H10+144000+120000</f>
        <v>364000</v>
      </c>
      <c r="R48" s="203"/>
      <c r="S48" s="203"/>
      <c r="T48" s="203"/>
      <c r="U48" s="37"/>
      <c r="V48" s="119"/>
      <c r="W48" s="120"/>
      <c r="X48" s="2"/>
      <c r="Y48" s="311"/>
      <c r="Z48" s="198"/>
      <c r="AA48" s="198"/>
      <c r="AB48" s="198"/>
    </row>
    <row r="49" spans="1:28" ht="15" customHeight="1">
      <c r="A49" s="116"/>
      <c r="B49" s="117" t="s">
        <v>409</v>
      </c>
      <c r="C49" s="117" t="s">
        <v>410</v>
      </c>
      <c r="D49" s="35"/>
      <c r="E49" s="35"/>
      <c r="F49" s="35"/>
      <c r="G49" s="35"/>
      <c r="H49" s="35"/>
      <c r="I49" s="35"/>
      <c r="J49" s="35"/>
      <c r="K49" s="150"/>
      <c r="L49" s="150"/>
      <c r="M49" s="150"/>
      <c r="N49" s="150"/>
      <c r="O49" s="35"/>
      <c r="P49" s="132"/>
      <c r="Q49" s="125"/>
      <c r="R49" s="132"/>
      <c r="S49" s="132"/>
      <c r="T49" s="151"/>
      <c r="U49" s="152"/>
      <c r="V49" s="151"/>
      <c r="W49" s="153"/>
      <c r="X49" s="2"/>
      <c r="Y49" s="2"/>
      <c r="Z49" s="2"/>
      <c r="AA49" s="2"/>
      <c r="AB49" s="2"/>
    </row>
    <row r="50" spans="1:28" ht="15" customHeight="1">
      <c r="A50" s="116"/>
      <c r="B50" s="117"/>
      <c r="C50" s="117" t="s">
        <v>411</v>
      </c>
      <c r="D50" s="35"/>
      <c r="E50" s="35"/>
      <c r="F50" s="35"/>
      <c r="G50" s="35"/>
      <c r="H50" s="35"/>
      <c r="I50" s="41"/>
      <c r="J50" s="41"/>
      <c r="K50" s="41"/>
      <c r="L50" s="41"/>
      <c r="M50" s="41"/>
      <c r="N50" s="41"/>
      <c r="O50" s="41"/>
      <c r="P50" s="154"/>
      <c r="Q50" s="155"/>
      <c r="R50" s="156"/>
      <c r="S50" s="156"/>
      <c r="T50" s="119"/>
      <c r="U50" s="37"/>
      <c r="V50" s="119"/>
      <c r="W50" s="120"/>
      <c r="X50" s="2"/>
      <c r="Y50" s="2"/>
      <c r="Z50" s="2"/>
      <c r="AA50" s="2"/>
      <c r="AB50" s="2"/>
    </row>
    <row r="51" spans="1:28" ht="15" customHeight="1">
      <c r="A51" s="116"/>
      <c r="B51" s="117" t="s">
        <v>412</v>
      </c>
      <c r="C51" s="117" t="s">
        <v>413</v>
      </c>
      <c r="D51" s="35"/>
      <c r="E51" s="35"/>
      <c r="F51" s="35"/>
      <c r="G51" s="35"/>
      <c r="H51" s="35"/>
      <c r="I51" s="35"/>
      <c r="J51" s="35"/>
      <c r="K51" s="150"/>
      <c r="L51" s="150"/>
      <c r="M51" s="150"/>
      <c r="N51" s="150"/>
      <c r="O51" s="35"/>
      <c r="P51" s="132"/>
      <c r="Q51" s="125"/>
      <c r="R51" s="132"/>
      <c r="S51" s="132"/>
      <c r="T51" s="151"/>
      <c r="U51" s="152"/>
      <c r="V51" s="151"/>
      <c r="W51" s="153"/>
      <c r="X51" s="2"/>
      <c r="Y51" s="2"/>
      <c r="Z51" s="2"/>
      <c r="AA51" s="2"/>
      <c r="AB51" s="2"/>
    </row>
    <row r="52" spans="1:28" ht="15" customHeight="1">
      <c r="A52" s="116"/>
      <c r="B52" s="117" t="s">
        <v>414</v>
      </c>
      <c r="C52" s="117" t="s">
        <v>415</v>
      </c>
      <c r="D52" s="35"/>
      <c r="E52" s="35"/>
      <c r="F52" s="35"/>
      <c r="G52" s="35"/>
      <c r="H52" s="35"/>
      <c r="I52" s="35"/>
      <c r="J52" s="35"/>
      <c r="K52" s="150"/>
      <c r="L52" s="150"/>
      <c r="M52" s="150"/>
      <c r="N52" s="150"/>
      <c r="O52" s="35"/>
      <c r="P52" s="121"/>
      <c r="Q52" s="305">
        <f>'Sch4-5'!T45</f>
        <v>96000</v>
      </c>
      <c r="R52" s="203"/>
      <c r="S52" s="203"/>
      <c r="T52" s="203"/>
      <c r="U52" s="152"/>
      <c r="V52" s="151"/>
      <c r="W52" s="153"/>
      <c r="X52" s="2"/>
      <c r="Y52" s="2"/>
      <c r="Z52" s="2"/>
      <c r="AA52" s="2"/>
      <c r="AB52" s="2"/>
    </row>
    <row r="53" spans="1:28" ht="15" customHeight="1">
      <c r="A53" s="116"/>
      <c r="B53" s="117" t="s">
        <v>416</v>
      </c>
      <c r="C53" s="117" t="s">
        <v>417</v>
      </c>
      <c r="D53" s="35"/>
      <c r="E53" s="35"/>
      <c r="F53" s="35"/>
      <c r="G53" s="35"/>
      <c r="H53" s="35"/>
      <c r="I53" s="35"/>
      <c r="J53" s="35"/>
      <c r="K53" s="150"/>
      <c r="L53" s="150"/>
      <c r="M53" s="150"/>
      <c r="N53" s="150"/>
      <c r="O53" s="35"/>
      <c r="P53" s="121"/>
      <c r="Q53" s="305">
        <f>100000+24000</f>
        <v>124000</v>
      </c>
      <c r="R53" s="203"/>
      <c r="S53" s="203"/>
      <c r="T53" s="203"/>
      <c r="U53" s="152"/>
      <c r="V53" s="151"/>
      <c r="W53" s="153"/>
      <c r="X53" s="2"/>
      <c r="Y53" s="2"/>
      <c r="Z53" s="2"/>
      <c r="AA53" s="2"/>
      <c r="AB53" s="2"/>
    </row>
    <row r="54" spans="1:28" ht="15" customHeight="1">
      <c r="A54" s="116"/>
      <c r="B54" s="117"/>
      <c r="C54" s="117"/>
      <c r="D54" s="35"/>
      <c r="E54" s="35"/>
      <c r="F54" s="35"/>
      <c r="G54" s="35"/>
      <c r="H54" s="35"/>
      <c r="I54" s="35"/>
      <c r="J54" s="117" t="s">
        <v>418</v>
      </c>
      <c r="K54" s="150"/>
      <c r="L54" s="121"/>
      <c r="M54" s="150"/>
      <c r="N54" s="150"/>
      <c r="O54" s="35"/>
      <c r="P54" s="123"/>
      <c r="Q54" s="73"/>
      <c r="R54" s="123"/>
      <c r="S54" s="122"/>
      <c r="T54" s="124"/>
      <c r="U54" s="305">
        <f>SUM(P47:S53)</f>
        <v>1134000</v>
      </c>
      <c r="V54" s="203"/>
      <c r="W54" s="199"/>
      <c r="X54" s="2"/>
      <c r="Y54" s="311"/>
      <c r="Z54" s="198"/>
      <c r="AA54" s="198"/>
      <c r="AB54" s="198"/>
    </row>
    <row r="55" spans="1:28" ht="15" customHeight="1">
      <c r="A55" s="137" t="s">
        <v>419</v>
      </c>
      <c r="B55" s="117" t="s">
        <v>420</v>
      </c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6"/>
      <c r="R55" s="126"/>
      <c r="S55" s="122"/>
      <c r="T55" s="124"/>
      <c r="U55" s="313">
        <v>1300000</v>
      </c>
      <c r="V55" s="203"/>
      <c r="W55" s="199"/>
      <c r="X55" s="3"/>
      <c r="Y55" s="3"/>
      <c r="Z55" s="3"/>
      <c r="AA55" s="3"/>
      <c r="AB55" s="3"/>
    </row>
    <row r="56" spans="1:28" ht="15" customHeight="1">
      <c r="A56" s="116"/>
      <c r="B56" s="158" t="s">
        <v>421</v>
      </c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6"/>
      <c r="R56" s="126"/>
      <c r="S56" s="126"/>
      <c r="T56" s="119"/>
      <c r="U56" s="37"/>
      <c r="V56" s="119"/>
      <c r="W56" s="120"/>
      <c r="X56" s="3"/>
      <c r="Y56" s="3"/>
      <c r="Z56" s="3"/>
      <c r="AA56" s="3"/>
      <c r="AB56" s="3"/>
    </row>
    <row r="57" spans="1:28" ht="15" customHeight="1">
      <c r="A57" s="116" t="s">
        <v>422</v>
      </c>
      <c r="B57" s="117" t="s">
        <v>423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6"/>
      <c r="R57" s="126"/>
      <c r="S57" s="122"/>
      <c r="T57" s="124"/>
      <c r="U57" s="313">
        <v>125000</v>
      </c>
      <c r="V57" s="203"/>
      <c r="W57" s="199"/>
      <c r="X57" s="3"/>
      <c r="Y57" s="3"/>
      <c r="Z57" s="3"/>
      <c r="AA57" s="3"/>
      <c r="AB57" s="29"/>
    </row>
    <row r="58" spans="1:28" ht="15" customHeight="1">
      <c r="A58" s="116" t="s">
        <v>405</v>
      </c>
      <c r="B58" s="117" t="s">
        <v>424</v>
      </c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59"/>
      <c r="O58" s="159"/>
      <c r="P58" s="159"/>
      <c r="Q58" s="160"/>
      <c r="R58" s="161"/>
      <c r="S58" s="122"/>
      <c r="T58" s="124"/>
      <c r="U58" s="313">
        <v>200000</v>
      </c>
      <c r="V58" s="203"/>
      <c r="W58" s="199"/>
      <c r="X58" s="3"/>
      <c r="Y58" s="3"/>
      <c r="Z58" s="3"/>
      <c r="AA58" s="3"/>
      <c r="AB58" s="3"/>
    </row>
    <row r="59" spans="1:28" ht="15" customHeight="1">
      <c r="A59" s="116" t="s">
        <v>425</v>
      </c>
      <c r="B59" s="117" t="s">
        <v>426</v>
      </c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6"/>
      <c r="R59" s="126"/>
      <c r="S59" s="122"/>
      <c r="T59" s="162"/>
      <c r="U59" s="157"/>
      <c r="V59" s="162"/>
      <c r="W59" s="163"/>
      <c r="X59" s="3"/>
      <c r="Y59" s="3"/>
      <c r="Z59" s="3"/>
      <c r="AA59" s="3"/>
      <c r="AB59" s="3"/>
    </row>
    <row r="60" spans="1:28" ht="15" customHeight="1">
      <c r="A60" s="116" t="s">
        <v>427</v>
      </c>
      <c r="B60" s="117" t="s">
        <v>428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6"/>
      <c r="R60" s="126"/>
      <c r="S60" s="122"/>
      <c r="T60" s="124"/>
      <c r="U60" s="313">
        <f>SUM(Q61:Q63)</f>
        <v>21187600</v>
      </c>
      <c r="V60" s="203"/>
      <c r="W60" s="199"/>
      <c r="X60" s="3"/>
      <c r="Y60" s="3"/>
      <c r="Z60" s="3"/>
      <c r="AA60" s="3"/>
      <c r="AB60" s="3"/>
    </row>
    <row r="61" spans="1:28" ht="15" customHeight="1">
      <c r="A61" s="116"/>
      <c r="B61" s="117" t="s">
        <v>429</v>
      </c>
      <c r="C61" s="117" t="s">
        <v>430</v>
      </c>
      <c r="D61" s="118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121"/>
      <c r="Q61" s="314">
        <v>210000</v>
      </c>
      <c r="R61" s="315"/>
      <c r="S61" s="315"/>
      <c r="T61" s="315"/>
      <c r="U61" s="37"/>
      <c r="V61" s="119"/>
      <c r="W61" s="120"/>
      <c r="X61" s="3"/>
      <c r="Y61" s="3"/>
      <c r="Z61" s="3"/>
      <c r="AA61" s="3"/>
      <c r="AB61" s="3"/>
    </row>
    <row r="62" spans="1:28" ht="15" customHeight="1">
      <c r="A62" s="164"/>
      <c r="B62" s="165" t="s">
        <v>407</v>
      </c>
      <c r="C62" s="166" t="s">
        <v>431</v>
      </c>
      <c r="D62" s="118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35"/>
      <c r="P62" s="121"/>
      <c r="Q62" s="316">
        <v>180000</v>
      </c>
      <c r="R62" s="315"/>
      <c r="S62" s="315"/>
      <c r="T62" s="315"/>
      <c r="U62" s="167"/>
      <c r="V62" s="124"/>
      <c r="W62" s="168"/>
      <c r="X62" s="47"/>
      <c r="Z62" s="3"/>
      <c r="AA62" s="3"/>
      <c r="AB62" s="3"/>
    </row>
    <row r="63" spans="1:28" ht="15" customHeight="1">
      <c r="A63" s="116"/>
      <c r="B63" s="165" t="s">
        <v>409</v>
      </c>
      <c r="C63" s="166" t="s">
        <v>204</v>
      </c>
      <c r="D63" s="169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121"/>
      <c r="Q63" s="202">
        <v>20797600</v>
      </c>
      <c r="R63" s="315"/>
      <c r="S63" s="315"/>
      <c r="T63" s="315"/>
      <c r="U63" s="73"/>
      <c r="V63" s="123"/>
      <c r="W63" s="129"/>
      <c r="X63" s="3"/>
      <c r="Y63" s="3"/>
      <c r="Z63" s="3"/>
      <c r="AA63" s="3"/>
      <c r="AB63" s="3"/>
    </row>
    <row r="64" spans="1:28" ht="15" customHeight="1">
      <c r="A64" s="170"/>
      <c r="B64" s="171"/>
      <c r="C64" s="171"/>
      <c r="D64" s="172"/>
      <c r="E64" s="171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4"/>
      <c r="Q64" s="175"/>
      <c r="R64" s="174"/>
      <c r="S64" s="174"/>
      <c r="T64" s="174"/>
      <c r="U64" s="170"/>
      <c r="V64" s="173"/>
      <c r="W64" s="176"/>
      <c r="X64" s="110"/>
      <c r="Y64" s="110"/>
      <c r="Z64" s="110"/>
      <c r="AA64" s="110"/>
      <c r="AB64" s="110"/>
    </row>
    <row r="65" spans="1:28" ht="15" customHeight="1">
      <c r="A65" s="116">
        <v>9</v>
      </c>
      <c r="B65" s="117" t="s">
        <v>307</v>
      </c>
      <c r="C65" s="117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9"/>
      <c r="R65" s="122"/>
      <c r="S65" s="122"/>
      <c r="T65" s="124"/>
      <c r="U65" s="308">
        <f>SUM(T40:W60)</f>
        <v>30946600</v>
      </c>
      <c r="V65" s="203"/>
      <c r="W65" s="199"/>
      <c r="X65" s="110"/>
      <c r="Y65" s="110"/>
      <c r="Z65" s="110"/>
      <c r="AA65" s="110"/>
      <c r="AB65" s="110"/>
    </row>
    <row r="66" spans="1:28" ht="18.75" customHeight="1">
      <c r="A66" s="243" t="s">
        <v>87</v>
      </c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10"/>
      <c r="Y66" s="110"/>
      <c r="Z66" s="110"/>
      <c r="AA66" s="110"/>
      <c r="AB66" s="110"/>
    </row>
    <row r="67" spans="1:28" ht="18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110"/>
      <c r="Z67" s="110"/>
      <c r="AA67" s="110"/>
      <c r="AB67" s="110"/>
    </row>
    <row r="68" spans="1:28" ht="18.75" customHeight="1">
      <c r="A68" s="3"/>
      <c r="B68" s="245" t="s">
        <v>432</v>
      </c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3"/>
      <c r="Y68" s="111"/>
      <c r="Z68" s="111"/>
      <c r="AA68" s="111"/>
      <c r="AB68" s="111"/>
    </row>
    <row r="69" spans="1:28" ht="13.5" customHeight="1">
      <c r="A69" s="3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3"/>
      <c r="Y69" s="54"/>
      <c r="Z69" s="54"/>
      <c r="AA69" s="54"/>
      <c r="AB69" s="54"/>
    </row>
    <row r="70" spans="1:28" ht="13.5" customHeight="1">
      <c r="A70" s="3"/>
      <c r="B70" s="29"/>
      <c r="C70" s="54"/>
      <c r="D70" s="54"/>
      <c r="E70" s="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spans="1:28" ht="13.5" customHeight="1">
      <c r="A71" s="3"/>
      <c r="B71" s="4"/>
      <c r="C71" s="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spans="1:28" ht="13.5" customHeight="1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5" customHeight="1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12"/>
      <c r="Q74" s="198"/>
      <c r="R74" s="198"/>
      <c r="S74" s="198"/>
      <c r="T74" s="2"/>
      <c r="U74" s="2"/>
      <c r="V74" s="2"/>
      <c r="W74" s="2"/>
      <c r="X74" s="2"/>
      <c r="Y74" s="2"/>
      <c r="Z74" s="2"/>
      <c r="AA74" s="2"/>
      <c r="AB74" s="2"/>
    </row>
    <row r="75" spans="1:28" ht="13.5" customHeight="1">
      <c r="A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3" t="s">
        <v>433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.5" customHeight="1">
      <c r="A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3" t="s">
        <v>93</v>
      </c>
      <c r="R76" s="177"/>
      <c r="S76" s="177"/>
      <c r="T76" s="177"/>
      <c r="U76" s="177"/>
      <c r="V76" s="2"/>
      <c r="W76" s="2"/>
      <c r="X76" s="2"/>
      <c r="Y76" s="2"/>
      <c r="Z76" s="2"/>
      <c r="AA76" s="2"/>
      <c r="AB76" s="2"/>
    </row>
    <row r="77" spans="1:28" ht="13.5" customHeight="1">
      <c r="A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7"/>
      <c r="Q77" s="70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" customHeight="1">
      <c r="A78" s="178"/>
      <c r="B78" s="104"/>
      <c r="C78" s="10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spans="1:28" ht="15" customHeight="1">
      <c r="A79" s="178"/>
      <c r="B79" s="104"/>
      <c r="C79" s="10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spans="1:28" ht="15" customHeight="1">
      <c r="A80" s="178"/>
      <c r="B80" s="104"/>
      <c r="C80" s="10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spans="1:28" ht="13.5" customHeight="1">
      <c r="A81" s="179"/>
      <c r="B81" s="2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spans="1:28" ht="13.5" customHeight="1">
      <c r="A82" s="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spans="1:28" ht="13.5" customHeight="1">
      <c r="A83" s="21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5" customHeight="1">
      <c r="A84" s="21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5" customHeight="1">
      <c r="A85" s="21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5" customHeight="1">
      <c r="A86" s="21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5" customHeight="1">
      <c r="A87" s="21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5" customHeight="1">
      <c r="A88" s="21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5" customHeight="1">
      <c r="A89" s="21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5" customHeight="1">
      <c r="A90" s="21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5" customHeight="1">
      <c r="A91" s="21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5" customHeight="1">
      <c r="A92" s="21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5" customHeight="1">
      <c r="A93" s="21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 customHeight="1">
      <c r="A94" s="21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5" customHeight="1">
      <c r="A95" s="21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5" customHeight="1">
      <c r="A96" s="21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5" customHeight="1">
      <c r="A97" s="21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5" customHeight="1">
      <c r="A98" s="21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5" customHeight="1">
      <c r="A99" s="21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5" customHeight="1">
      <c r="A100" s="21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5" customHeight="1">
      <c r="A101" s="21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5" customHeight="1">
      <c r="A102" s="21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5" customHeight="1">
      <c r="A103" s="21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5" customHeight="1">
      <c r="A104" s="21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5" customHeight="1">
      <c r="A105" s="21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5" customHeight="1">
      <c r="A106" s="21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 customHeight="1">
      <c r="A107" s="21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5" customHeight="1">
      <c r="A108" s="21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5" customHeight="1">
      <c r="A109" s="21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5" customHeight="1">
      <c r="A110" s="21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5" customHeight="1">
      <c r="A111" s="21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5" customHeight="1">
      <c r="A112" s="21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5" customHeight="1">
      <c r="A113" s="21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5" customHeight="1">
      <c r="A114" s="21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5" customHeight="1">
      <c r="A115" s="21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5" customHeight="1">
      <c r="A116" s="21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5" customHeight="1">
      <c r="A117" s="21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5" customHeight="1">
      <c r="A118" s="21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5" customHeight="1">
      <c r="A119" s="21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5" customHeight="1">
      <c r="A120" s="21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5" customHeight="1">
      <c r="A121" s="21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5" customHeight="1">
      <c r="A122" s="21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5" customHeight="1">
      <c r="A123" s="21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5" customHeight="1">
      <c r="A124" s="21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5" customHeight="1">
      <c r="A125" s="21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5" customHeight="1">
      <c r="A126" s="21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5" customHeight="1">
      <c r="A127" s="21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5" customHeight="1">
      <c r="A128" s="21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5" customHeight="1">
      <c r="A129" s="21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5" customHeight="1">
      <c r="A130" s="21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5" customHeight="1">
      <c r="A131" s="21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5" customHeight="1">
      <c r="A132" s="21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5" customHeight="1">
      <c r="A133" s="21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5" customHeight="1">
      <c r="A134" s="21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5" customHeight="1">
      <c r="A135" s="21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5" customHeight="1">
      <c r="A136" s="21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5" customHeight="1">
      <c r="A137" s="21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5" customHeight="1">
      <c r="A138" s="21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5" customHeight="1">
      <c r="A139" s="21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5" customHeight="1">
      <c r="A140" s="21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5" customHeight="1">
      <c r="A141" s="21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5" customHeight="1">
      <c r="A142" s="21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5" customHeight="1">
      <c r="A143" s="21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5" customHeight="1">
      <c r="A144" s="21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5" customHeight="1">
      <c r="A145" s="21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5" customHeight="1">
      <c r="A146" s="21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5" customHeight="1">
      <c r="A147" s="21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5" customHeight="1">
      <c r="A148" s="21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5" customHeight="1">
      <c r="A149" s="21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5" customHeight="1">
      <c r="A150" s="21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5" customHeight="1">
      <c r="A151" s="21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5" customHeight="1">
      <c r="A152" s="21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5" customHeight="1">
      <c r="A153" s="21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5" customHeight="1">
      <c r="A154" s="21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5" customHeight="1">
      <c r="A155" s="21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5" customHeight="1">
      <c r="A156" s="21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 customHeight="1">
      <c r="A157" s="21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5" customHeight="1">
      <c r="A158" s="21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5" customHeight="1">
      <c r="A159" s="2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2"/>
      <c r="Y159" s="2"/>
      <c r="Z159" s="2"/>
      <c r="AA159" s="2"/>
      <c r="AB159" s="2"/>
    </row>
    <row r="160" spans="1:28" ht="13.5" customHeight="1">
      <c r="A160" s="2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2"/>
      <c r="Y160" s="2"/>
      <c r="Z160" s="2"/>
      <c r="AA160" s="2"/>
      <c r="AB160" s="2"/>
    </row>
    <row r="161" spans="1:28" ht="13.5" customHeight="1">
      <c r="A161" s="2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2"/>
      <c r="Y161" s="2"/>
      <c r="Z161" s="2"/>
      <c r="AA161" s="2"/>
      <c r="AB161" s="2"/>
    </row>
    <row r="162" spans="1:28" ht="13.5" customHeight="1">
      <c r="A162" s="2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2"/>
      <c r="Y162" s="2"/>
      <c r="Z162" s="2"/>
      <c r="AA162" s="2"/>
      <c r="AB162" s="2"/>
    </row>
    <row r="163" spans="1:28" ht="13.5" customHeight="1">
      <c r="A163" s="2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2"/>
      <c r="Y163" s="2"/>
      <c r="Z163" s="2"/>
      <c r="AA163" s="2"/>
      <c r="AB163" s="2"/>
    </row>
    <row r="164" spans="1:28" ht="13.5" customHeight="1">
      <c r="A164" s="2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2"/>
      <c r="Y164" s="2"/>
      <c r="Z164" s="2"/>
      <c r="AA164" s="2"/>
      <c r="AB164" s="2"/>
    </row>
    <row r="165" spans="1:28" ht="13.5" customHeight="1">
      <c r="A165" s="2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2"/>
      <c r="Y165" s="2"/>
      <c r="Z165" s="2"/>
      <c r="AA165" s="2"/>
      <c r="AB165" s="2"/>
    </row>
    <row r="166" spans="1:28" ht="13.5" customHeight="1">
      <c r="A166" s="2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2"/>
      <c r="Y166" s="2"/>
      <c r="Z166" s="2"/>
      <c r="AA166" s="2"/>
      <c r="AB166" s="2"/>
    </row>
    <row r="167" spans="1:28" ht="13.5" customHeight="1">
      <c r="A167" s="2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2"/>
      <c r="Y167" s="2"/>
      <c r="Z167" s="2"/>
      <c r="AA167" s="2"/>
      <c r="AB167" s="2"/>
    </row>
    <row r="168" spans="1:28" ht="13.5" customHeight="1">
      <c r="A168" s="2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"/>
      <c r="Y168" s="2"/>
      <c r="Z168" s="2"/>
      <c r="AA168" s="2"/>
      <c r="AB168" s="2"/>
    </row>
    <row r="169" spans="1:28" ht="13.5" customHeight="1">
      <c r="A169" s="2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2"/>
      <c r="Y169" s="2"/>
      <c r="Z169" s="2"/>
      <c r="AA169" s="2"/>
      <c r="AB169" s="2"/>
    </row>
    <row r="170" spans="1:28" ht="13.5" customHeight="1">
      <c r="A170" s="2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2"/>
      <c r="Y170" s="2"/>
      <c r="Z170" s="2"/>
      <c r="AA170" s="2"/>
      <c r="AB170" s="2"/>
    </row>
    <row r="171" spans="1:28" ht="13.5" customHeight="1">
      <c r="A171" s="2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2"/>
      <c r="Y171" s="2"/>
      <c r="Z171" s="2"/>
      <c r="AA171" s="2"/>
      <c r="AB171" s="2"/>
    </row>
    <row r="172" spans="1:28" ht="13.5" customHeight="1">
      <c r="A172" s="2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2"/>
      <c r="Y172" s="2"/>
      <c r="Z172" s="2"/>
      <c r="AA172" s="2"/>
      <c r="AB172" s="2"/>
    </row>
    <row r="173" spans="1:28" ht="13.5" customHeight="1">
      <c r="A173" s="2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2"/>
      <c r="Y173" s="2"/>
      <c r="Z173" s="2"/>
      <c r="AA173" s="2"/>
      <c r="AB173" s="2"/>
    </row>
    <row r="174" spans="1:28" ht="13.5" customHeight="1">
      <c r="A174" s="2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2"/>
      <c r="Y174" s="2"/>
      <c r="Z174" s="2"/>
      <c r="AA174" s="2"/>
      <c r="AB174" s="2"/>
    </row>
    <row r="175" spans="1:28" ht="13.5" customHeight="1">
      <c r="A175" s="2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2"/>
      <c r="Y175" s="2"/>
      <c r="Z175" s="2"/>
      <c r="AA175" s="2"/>
      <c r="AB175" s="2"/>
    </row>
    <row r="176" spans="1:28" ht="13.5" customHeight="1">
      <c r="A176" s="2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2"/>
      <c r="Y176" s="2"/>
      <c r="Z176" s="2"/>
      <c r="AA176" s="2"/>
      <c r="AB176" s="2"/>
    </row>
    <row r="177" spans="1:28" ht="13.5" customHeight="1">
      <c r="A177" s="2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"/>
      <c r="Y177" s="2"/>
      <c r="Z177" s="2"/>
      <c r="AA177" s="2"/>
      <c r="AB177" s="2"/>
    </row>
    <row r="178" spans="1:28" ht="13.5" customHeight="1">
      <c r="A178" s="21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5" customHeight="1">
      <c r="A179" s="21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5" customHeight="1">
      <c r="A180" s="21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5" customHeight="1">
      <c r="A181" s="21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5" customHeight="1">
      <c r="A182" s="21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5" customHeight="1">
      <c r="A183" s="21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5" customHeight="1">
      <c r="A184" s="21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5" customHeight="1">
      <c r="A185" s="21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5" customHeight="1">
      <c r="A186" s="21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5" customHeight="1">
      <c r="A187" s="21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5" customHeight="1">
      <c r="A188" s="21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5" customHeight="1">
      <c r="A189" s="21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5" customHeight="1">
      <c r="A190" s="21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 customHeight="1">
      <c r="A191" s="21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5" customHeight="1">
      <c r="A192" s="21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5" customHeight="1">
      <c r="A193" s="21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5" customHeight="1">
      <c r="A194" s="21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5" customHeight="1">
      <c r="A195" s="21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5" customHeight="1">
      <c r="A196" s="21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5" customHeight="1">
      <c r="A197" s="21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5" customHeight="1">
      <c r="A198" s="21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5" customHeight="1">
      <c r="A199" s="21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5" customHeight="1">
      <c r="A200" s="21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5" customHeight="1">
      <c r="A201" s="21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5" customHeight="1">
      <c r="A202" s="21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5" customHeight="1">
      <c r="A203" s="21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5" customHeight="1">
      <c r="A204" s="21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5" customHeight="1">
      <c r="A205" s="21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5" customHeight="1">
      <c r="A206" s="21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5" customHeight="1">
      <c r="A207" s="21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5" customHeight="1">
      <c r="A208" s="21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5" customHeight="1">
      <c r="A209" s="21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5" customHeight="1">
      <c r="A210" s="21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5" customHeight="1">
      <c r="A211" s="21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5" customHeight="1">
      <c r="A212" s="21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5" customHeight="1">
      <c r="A213" s="21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5" customHeight="1">
      <c r="A214" s="21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5" customHeight="1">
      <c r="A215" s="21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5" customHeight="1">
      <c r="A216" s="21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5" customHeight="1">
      <c r="A217" s="21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5" customHeight="1">
      <c r="A218" s="21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5" customHeight="1">
      <c r="A219" s="21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5" customHeight="1">
      <c r="A220" s="21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5" customHeight="1">
      <c r="A221" s="21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 customHeight="1">
      <c r="A222" s="21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5" customHeight="1">
      <c r="A223" s="21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5" customHeight="1">
      <c r="A224" s="21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5" customHeight="1">
      <c r="A225" s="21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5" customHeight="1">
      <c r="A226" s="21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5" customHeight="1">
      <c r="A227" s="21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5" customHeight="1">
      <c r="A228" s="21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5" customHeight="1">
      <c r="A229" s="21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5" customHeight="1">
      <c r="A230" s="21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5" customHeight="1">
      <c r="A231" s="21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5" customHeight="1">
      <c r="A232" s="21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5" customHeight="1">
      <c r="A233" s="21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5" customHeight="1">
      <c r="A234" s="21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5" customHeight="1">
      <c r="A235" s="21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5" customHeight="1">
      <c r="A236" s="21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5" customHeight="1">
      <c r="A237" s="21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5" customHeight="1">
      <c r="A238" s="21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5" customHeight="1">
      <c r="A239" s="21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5" customHeight="1">
      <c r="A240" s="21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5" customHeight="1">
      <c r="A241" s="21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5" customHeight="1">
      <c r="A242" s="21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5" customHeight="1">
      <c r="A243" s="21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5" customHeight="1">
      <c r="A244" s="21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5" customHeight="1">
      <c r="A245" s="21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5" customHeight="1">
      <c r="A246" s="21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5" customHeight="1">
      <c r="A247" s="21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5" customHeight="1">
      <c r="A248" s="21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5" customHeight="1">
      <c r="A249" s="21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5" customHeight="1">
      <c r="A250" s="21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5" customHeight="1">
      <c r="A251" s="21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 customHeight="1">
      <c r="A252" s="21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5" customHeight="1">
      <c r="A253" s="21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5" customHeight="1">
      <c r="A254" s="21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5" customHeight="1">
      <c r="A255" s="21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5" customHeight="1">
      <c r="A256" s="21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5" customHeight="1">
      <c r="A257" s="21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5" customHeight="1">
      <c r="A258" s="21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5" customHeight="1">
      <c r="A259" s="21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5" customHeight="1">
      <c r="A260" s="21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5" customHeight="1">
      <c r="A261" s="21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5" customHeight="1">
      <c r="A262" s="21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5" customHeight="1">
      <c r="A263" s="21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5" customHeight="1">
      <c r="A264" s="21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5" customHeight="1">
      <c r="A265" s="21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5" customHeight="1">
      <c r="A266" s="21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5" customHeight="1">
      <c r="A267" s="21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5" customHeight="1">
      <c r="A268" s="21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5" customHeight="1">
      <c r="A269" s="21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5" customHeight="1">
      <c r="A270" s="21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5" customHeight="1">
      <c r="A271" s="21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5" customHeight="1">
      <c r="A272" s="21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5" customHeight="1">
      <c r="A273" s="21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5" customHeight="1">
      <c r="A274" s="21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5" customHeight="1">
      <c r="A275" s="21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5" customHeight="1">
      <c r="A276" s="21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/>
    <row r="278" spans="1:28" ht="15.75" customHeight="1"/>
    <row r="279" spans="1:28" ht="15.75" customHeight="1"/>
    <row r="280" spans="1:28" ht="15.75" customHeight="1"/>
    <row r="281" spans="1:28" ht="15.75" customHeight="1"/>
    <row r="282" spans="1:28" ht="15.75" customHeight="1"/>
    <row r="283" spans="1:28" ht="15.75" customHeight="1"/>
    <row r="284" spans="1:28" ht="15.75" customHeight="1"/>
    <row r="285" spans="1:28" ht="15.75" customHeight="1"/>
    <row r="286" spans="1:28" ht="15.75" customHeight="1"/>
    <row r="287" spans="1:28" ht="15.75" customHeight="1"/>
    <row r="288" spans="1:2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48">
    <mergeCell ref="P74:S74"/>
    <mergeCell ref="U54:W54"/>
    <mergeCell ref="Y54:AB54"/>
    <mergeCell ref="U55:W55"/>
    <mergeCell ref="U57:W57"/>
    <mergeCell ref="U58:W58"/>
    <mergeCell ref="U60:W60"/>
    <mergeCell ref="Q61:T61"/>
    <mergeCell ref="Q62:T62"/>
    <mergeCell ref="Q63:T63"/>
    <mergeCell ref="U65:W65"/>
    <mergeCell ref="A66:W66"/>
    <mergeCell ref="B68:W69"/>
    <mergeCell ref="Q47:T47"/>
    <mergeCell ref="Q48:T48"/>
    <mergeCell ref="Y48:AB48"/>
    <mergeCell ref="Q52:T52"/>
    <mergeCell ref="Q53:T53"/>
    <mergeCell ref="B42:P42"/>
    <mergeCell ref="Q42:T43"/>
    <mergeCell ref="U42:W43"/>
    <mergeCell ref="Q44:T45"/>
    <mergeCell ref="U44:W45"/>
    <mergeCell ref="Q32:T32"/>
    <mergeCell ref="U35:W35"/>
    <mergeCell ref="U36:W36"/>
    <mergeCell ref="U40:W40"/>
    <mergeCell ref="U41:W41"/>
    <mergeCell ref="U25:W25"/>
    <mergeCell ref="Q26:T26"/>
    <mergeCell ref="Q27:T27"/>
    <mergeCell ref="U28:W28"/>
    <mergeCell ref="U29:W29"/>
    <mergeCell ref="Q20:T20"/>
    <mergeCell ref="Q21:T21"/>
    <mergeCell ref="Q22:T22"/>
    <mergeCell ref="U23:W23"/>
    <mergeCell ref="U24:W24"/>
    <mergeCell ref="B10:W12"/>
    <mergeCell ref="B13:W14"/>
    <mergeCell ref="G16:V16"/>
    <mergeCell ref="Q19:T19"/>
    <mergeCell ref="U19:W19"/>
    <mergeCell ref="A1:W1"/>
    <mergeCell ref="A2:W2"/>
    <mergeCell ref="A4:W4"/>
    <mergeCell ref="L5:Q5"/>
    <mergeCell ref="A7:W7"/>
  </mergeCells>
  <conditionalFormatting sqref="G16">
    <cfRule type="containsBlanks" dxfId="0" priority="1" stopIfTrue="1">
      <formula>LEN(TRIM(G16))=0</formula>
    </cfRule>
  </conditionalFormatting>
  <pageMargins left="0.45" right="0.2" top="0.75" bottom="0.75" header="0" footer="0"/>
  <pageSetup paperSize="9" orientation="portrait"/>
  <rowBreaks count="2" manualBreakCount="2">
    <brk id="36" man="1"/>
    <brk id="56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3:E13"/>
  <sheetViews>
    <sheetView showGridLines="0" workbookViewId="0">
      <selection activeCell="N23" sqref="N23"/>
    </sheetView>
  </sheetViews>
  <sheetFormatPr defaultColWidth="14.42578125" defaultRowHeight="15" customHeight="1"/>
  <cols>
    <col min="1" max="1" width="29.28515625" style="318" customWidth="1"/>
    <col min="2" max="16384" width="14.42578125" style="318"/>
  </cols>
  <sheetData>
    <row r="3" spans="1:5">
      <c r="A3" s="355" t="s">
        <v>341</v>
      </c>
      <c r="B3" s="356" t="s">
        <v>110</v>
      </c>
      <c r="C3" s="356" t="s">
        <v>110</v>
      </c>
    </row>
    <row r="4" spans="1:5">
      <c r="A4" s="357" t="s">
        <v>434</v>
      </c>
      <c r="B4" s="358"/>
      <c r="C4" s="358">
        <v>80000</v>
      </c>
    </row>
    <row r="5" spans="1:5">
      <c r="A5" s="357" t="s">
        <v>435</v>
      </c>
      <c r="B5" s="358">
        <v>3000</v>
      </c>
      <c r="C5" s="358"/>
    </row>
    <row r="6" spans="1:5">
      <c r="A6" s="357" t="s">
        <v>436</v>
      </c>
      <c r="B6" s="362">
        <v>2000</v>
      </c>
      <c r="C6" s="358"/>
    </row>
    <row r="7" spans="1:5">
      <c r="A7" s="357" t="s">
        <v>437</v>
      </c>
      <c r="B7" s="358"/>
      <c r="C7" s="358">
        <f>SUM(B5:B6)</f>
        <v>5000</v>
      </c>
    </row>
    <row r="8" spans="1:5">
      <c r="A8" s="357" t="s">
        <v>438</v>
      </c>
      <c r="B8" s="358"/>
      <c r="C8" s="358">
        <v>2500</v>
      </c>
    </row>
    <row r="9" spans="1:5">
      <c r="A9" s="357" t="s">
        <v>439</v>
      </c>
      <c r="B9" s="358"/>
      <c r="C9" s="358">
        <v>6000</v>
      </c>
    </row>
    <row r="10" spans="1:5">
      <c r="A10" s="357" t="s">
        <v>440</v>
      </c>
      <c r="B10" s="358"/>
      <c r="C10" s="358">
        <v>25000</v>
      </c>
    </row>
    <row r="11" spans="1:5">
      <c r="A11" s="357" t="s">
        <v>441</v>
      </c>
      <c r="B11" s="358"/>
      <c r="C11" s="358">
        <v>15000</v>
      </c>
      <c r="E11" s="385"/>
    </row>
    <row r="12" spans="1:5">
      <c r="A12" s="357" t="s">
        <v>442</v>
      </c>
      <c r="B12" s="358"/>
      <c r="C12" s="358">
        <v>30000</v>
      </c>
    </row>
    <row r="13" spans="1:5">
      <c r="A13" s="366" t="s">
        <v>230</v>
      </c>
      <c r="B13" s="364"/>
      <c r="C13" s="372">
        <f>SUM(C4:C12)</f>
        <v>163500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 Page</vt:lpstr>
      <vt:lpstr>Return</vt:lpstr>
      <vt:lpstr>Tax and Rebate Calculation</vt:lpstr>
      <vt:lpstr>Sch1</vt:lpstr>
      <vt:lpstr>Workings Income from Employment</vt:lpstr>
      <vt:lpstr>Sch2-3</vt:lpstr>
      <vt:lpstr>Workings Income from Rent</vt:lpstr>
      <vt:lpstr>Workings Income from Agricultur</vt:lpstr>
      <vt:lpstr>Sch4-5</vt:lpstr>
      <vt:lpstr>Workings Income from Business</vt:lpstr>
      <vt:lpstr>Income from Financial Assets</vt:lpstr>
      <vt:lpstr>Income from Firm</vt:lpstr>
      <vt:lpstr>Income from Other Sources</vt:lpstr>
      <vt:lpstr>IT-10BB23</vt:lpstr>
      <vt:lpstr>IT-10B23</vt:lpstr>
      <vt:lpstr>Workings Lifestyle 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Faiaz Ahmed</dc:creator>
  <cp:lastModifiedBy>Faiaz Ahmed</cp:lastModifiedBy>
  <dcterms:created xsi:type="dcterms:W3CDTF">2025-12-25T18:03:27Z</dcterms:created>
  <dcterms:modified xsi:type="dcterms:W3CDTF">2025-12-25T18:03:34Z</dcterms:modified>
</cp:coreProperties>
</file>